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USE JAPAN_上期_7-12月" sheetId="1" state="visible" r:id="rId1"/>
    <sheet xmlns:r="http://schemas.openxmlformats.org/officeDocument/2006/relationships" name="AMUSE JAPAN_下期_1-6月" sheetId="2" state="visible" r:id="rId2"/>
    <sheet xmlns:r="http://schemas.openxmlformats.org/officeDocument/2006/relationships" name="ウェルピア羽島_上期_7-12月" sheetId="3" state="visible" r:id="rId3"/>
    <sheet xmlns:r="http://schemas.openxmlformats.org/officeDocument/2006/relationships" name="ウェルピア羽島_下期_1-6月" sheetId="4" state="visible" r:id="rId4"/>
    <sheet xmlns:r="http://schemas.openxmlformats.org/officeDocument/2006/relationships" name="ウェルピア山県_上期_7-12月" sheetId="5" state="visible" r:id="rId5"/>
    <sheet xmlns:r="http://schemas.openxmlformats.org/officeDocument/2006/relationships" name="ウェルピア山県_下期_1-6月" sheetId="6" state="visible" r:id="rId6"/>
    <sheet xmlns:r="http://schemas.openxmlformats.org/officeDocument/2006/relationships" name="大日産業（本社）_上期_7-12月" sheetId="7" state="visible" r:id="rId7"/>
    <sheet xmlns:r="http://schemas.openxmlformats.org/officeDocument/2006/relationships" name="大日産業（本社）_下期_1-6月" sheetId="8" state="visible" r:id="rId8"/>
    <sheet xmlns:r="http://schemas.openxmlformats.org/officeDocument/2006/relationships" name="大日産業（不動産）_上期_7-12月" sheetId="9" state="visible" r:id="rId9"/>
    <sheet xmlns:r="http://schemas.openxmlformats.org/officeDocument/2006/relationships" name="大日産業（不動産）_下期_1-6月" sheetId="10" state="visible" r:id="rId10"/>
    <sheet xmlns:r="http://schemas.openxmlformats.org/officeDocument/2006/relationships" name="Eats_上期_7-12月" sheetId="11" state="visible" r:id="rId11"/>
    <sheet xmlns:r="http://schemas.openxmlformats.org/officeDocument/2006/relationships" name="Eats_下期_1-6月" sheetId="12" state="visible" r:id="rId12"/>
    <sheet xmlns:r="http://schemas.openxmlformats.org/officeDocument/2006/relationships" name="サイクルEV_上期_7-12月" sheetId="13" state="visible" r:id="rId13"/>
    <sheet xmlns:r="http://schemas.openxmlformats.org/officeDocument/2006/relationships" name="サイクルEV_下期_1-6月" sheetId="14" state="visible" r:id="rId14"/>
    <sheet xmlns:r="http://schemas.openxmlformats.org/officeDocument/2006/relationships" name="ボディケア_上期_7-12月" sheetId="15" state="visible" r:id="rId15"/>
    <sheet xmlns:r="http://schemas.openxmlformats.org/officeDocument/2006/relationships" name="ボディケア_下期_1-6月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Blue]#,##0;[Red]-#,##0;[Black]0"/>
  </numFmts>
  <fonts count="11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0"/>
    </font>
    <font>
      <b val="1"/>
      <color rgb="00FFFFFF"/>
      <sz val="12"/>
    </font>
    <font>
      <b val="1"/>
      <sz val="11"/>
    </font>
    <font>
      <sz val="9"/>
    </font>
    <font>
      <color rgb="00000000"/>
      <sz val="9"/>
    </font>
    <font>
      <b val="1"/>
      <sz val="9"/>
    </font>
    <font>
      <color rgb="00CC0000"/>
      <sz val="9"/>
    </font>
    <font>
      <b val="1"/>
      <color rgb="00000000"/>
      <sz val="14"/>
    </font>
    <font>
      <b val="1"/>
      <color rgb="00FFFFFF"/>
      <sz val="14"/>
    </font>
  </fonts>
  <fills count="20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F7070"/>
      </patternFill>
    </fill>
    <fill>
      <patternFill patternType="solid">
        <fgColor rgb="00FFE8E0"/>
      </patternFill>
    </fill>
    <fill>
      <patternFill patternType="solid">
        <fgColor rgb="00FFD966"/>
      </patternFill>
    </fill>
    <fill>
      <patternFill patternType="solid">
        <fgColor rgb="00FFC000"/>
      </patternFill>
    </fill>
    <fill>
      <patternFill patternType="solid">
        <fgColor rgb="0000B050"/>
      </patternFill>
    </fill>
    <fill>
      <patternFill patternType="solid">
        <fgColor rgb="0070C070"/>
      </patternFill>
    </fill>
    <fill>
      <patternFill patternType="solid">
        <fgColor rgb="00E8F5E8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5B2C6F"/>
      </patternFill>
    </fill>
    <fill>
      <patternFill patternType="solid">
        <fgColor rgb="00C39BD3"/>
      </patternFill>
    </fill>
    <fill>
      <patternFill patternType="solid">
        <fgColor rgb="001A5276"/>
      </patternFill>
    </fill>
    <fill>
      <patternFill patternType="solid">
        <fgColor rgb="00D4E6F1"/>
      </patternFill>
    </fill>
  </fills>
  <borders count="7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5" borderId="1" pivotButton="0" quotePrefix="0" xfId="0"/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3" fontId="4" fillId="7" borderId="1" applyAlignment="1" pivotButton="0" quotePrefix="0" xfId="0">
      <alignment horizontal="right"/>
    </xf>
    <xf numFmtId="0" fontId="5" fillId="6" borderId="1" pivotButton="0" quotePrefix="0" xfId="0"/>
    <xf numFmtId="3" fontId="6" fillId="6" borderId="1" applyAlignment="1" pivotButton="0" quotePrefix="0" xfId="0">
      <alignment horizontal="right"/>
    </xf>
    <xf numFmtId="3" fontId="7" fillId="7" borderId="1" applyAlignment="1" pivotButton="0" quotePrefix="0" xfId="0">
      <alignment horizontal="right"/>
    </xf>
    <xf numFmtId="0" fontId="0" fillId="6" borderId="1" pivotButton="0" quotePrefix="0" xfId="0"/>
    <xf numFmtId="3" fontId="0" fillId="6" borderId="1" applyAlignment="1" pivotButton="0" quotePrefix="0" xfId="0">
      <alignment horizontal="right"/>
    </xf>
    <xf numFmtId="3" fontId="0" fillId="7" borderId="1" pivotButton="0" quotePrefix="0" xfId="0"/>
    <xf numFmtId="3" fontId="8" fillId="6" borderId="1" applyAlignment="1" pivotButton="0" quotePrefix="0" xfId="0">
      <alignment horizontal="right"/>
    </xf>
    <xf numFmtId="0" fontId="0" fillId="8" borderId="1" pivotButton="0" quotePrefix="0" xfId="0"/>
    <xf numFmtId="0" fontId="4" fillId="8" borderId="1" pivotButton="0" quotePrefix="0" xfId="0"/>
    <xf numFmtId="3" fontId="4" fillId="8" borderId="1" applyAlignment="1" pivotButton="0" quotePrefix="0" xfId="0">
      <alignment horizontal="right"/>
    </xf>
    <xf numFmtId="0" fontId="3" fillId="9" borderId="0" pivotButton="0" quotePrefix="0" xfId="0"/>
    <xf numFmtId="0" fontId="0" fillId="10" borderId="1" pivotButton="0" quotePrefix="0" xfId="0"/>
    <xf numFmtId="0" fontId="4" fillId="10" borderId="1" pivotButton="0" quotePrefix="0" xfId="0"/>
    <xf numFmtId="3" fontId="4" fillId="10" borderId="1" applyAlignment="1" pivotButton="0" quotePrefix="0" xfId="0">
      <alignment horizontal="right"/>
    </xf>
    <xf numFmtId="0" fontId="5" fillId="11" borderId="1" pivotButton="0" quotePrefix="0" xfId="0"/>
    <xf numFmtId="3" fontId="6" fillId="11" borderId="1" applyAlignment="1" pivotButton="0" quotePrefix="0" xfId="0">
      <alignment horizontal="right"/>
    </xf>
    <xf numFmtId="3" fontId="8" fillId="11" borderId="1" applyAlignment="1" pivotButton="0" quotePrefix="0" xfId="0">
      <alignment horizontal="right"/>
    </xf>
    <xf numFmtId="0" fontId="0" fillId="11" borderId="1" pivotButton="0" quotePrefix="0" xfId="0"/>
    <xf numFmtId="3" fontId="0" fillId="11" borderId="1" applyAlignment="1" pivotButton="0" quotePrefix="0" xfId="0">
      <alignment horizontal="right"/>
    </xf>
    <xf numFmtId="0" fontId="0" fillId="9" borderId="1" pivotButton="0" quotePrefix="0" xfId="0"/>
    <xf numFmtId="0" fontId="4" fillId="9" borderId="1" pivotButton="0" quotePrefix="0" xfId="0"/>
    <xf numFmtId="3" fontId="4" fillId="9" borderId="1" applyAlignment="1" pivotButton="0" quotePrefix="0" xfId="0">
      <alignment horizontal="right"/>
    </xf>
    <xf numFmtId="0" fontId="0" fillId="8" borderId="2" pivotButton="0" quotePrefix="0" xfId="0"/>
    <xf numFmtId="0" fontId="9" fillId="8" borderId="2" pivotButton="0" quotePrefix="0" xfId="0"/>
    <xf numFmtId="3" fontId="9" fillId="8" borderId="2" applyAlignment="1" pivotButton="0" quotePrefix="0" xfId="0">
      <alignment horizontal="right"/>
    </xf>
    <xf numFmtId="0" fontId="0" fillId="12" borderId="2" pivotButton="0" quotePrefix="0" xfId="0"/>
    <xf numFmtId="0" fontId="10" fillId="12" borderId="2" pivotButton="0" quotePrefix="0" xfId="0"/>
    <xf numFmtId="3" fontId="9" fillId="12" borderId="2" applyAlignment="1" pivotButton="0" quotePrefix="0" xfId="0">
      <alignment horizontal="right"/>
    </xf>
    <xf numFmtId="0" fontId="0" fillId="13" borderId="2" pivotButton="0" quotePrefix="0" xfId="0"/>
    <xf numFmtId="0" fontId="9" fillId="13" borderId="2" pivotButton="0" quotePrefix="0" xfId="0"/>
    <xf numFmtId="164" fontId="9" fillId="13" borderId="2" applyAlignment="1" pivotButton="0" quotePrefix="0" xfId="0">
      <alignment horizontal="right"/>
    </xf>
    <xf numFmtId="3" fontId="4" fillId="14" borderId="1" applyAlignment="1" pivotButton="0" quotePrefix="0" xfId="0">
      <alignment horizontal="right"/>
    </xf>
    <xf numFmtId="3" fontId="4" fillId="15" borderId="1" applyAlignment="1" pivotButton="0" quotePrefix="0" xfId="0">
      <alignment horizontal="right"/>
    </xf>
    <xf numFmtId="3" fontId="7" fillId="14" borderId="1" applyAlignment="1" pivotButton="0" quotePrefix="0" xfId="0">
      <alignment horizontal="right"/>
    </xf>
    <xf numFmtId="3" fontId="7" fillId="15" borderId="1" applyAlignment="1" pivotButton="0" quotePrefix="0" xfId="0">
      <alignment horizontal="right"/>
    </xf>
    <xf numFmtId="3" fontId="0" fillId="14" borderId="1" pivotButton="0" quotePrefix="0" xfId="0"/>
    <xf numFmtId="3" fontId="0" fillId="15" borderId="1" pivotButton="0" quotePrefix="0" xfId="0"/>
    <xf numFmtId="0" fontId="10" fillId="16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17" borderId="2" pivotButton="0" quotePrefix="0" xfId="0"/>
    <xf numFmtId="0" fontId="9" fillId="17" borderId="2" pivotButton="0" quotePrefix="0" xfId="0"/>
    <xf numFmtId="3" fontId="9" fillId="17" borderId="2" applyAlignment="1" pivotButton="0" quotePrefix="0" xfId="0">
      <alignment horizontal="right"/>
    </xf>
    <xf numFmtId="0" fontId="0" fillId="18" borderId="2" pivotButton="0" quotePrefix="0" xfId="0"/>
    <xf numFmtId="0" fontId="10" fillId="18" borderId="2" pivotButton="0" quotePrefix="0" xfId="0"/>
    <xf numFmtId="3" fontId="10" fillId="18" borderId="2" applyAlignment="1" pivotButton="0" quotePrefix="0" xfId="0">
      <alignment horizontal="right"/>
    </xf>
    <xf numFmtId="0" fontId="0" fillId="19" borderId="2" pivotButton="0" quotePrefix="0" xfId="0"/>
    <xf numFmtId="0" fontId="9" fillId="19" borderId="2" pivotButton="0" quotePrefix="0" xfId="0"/>
    <xf numFmtId="164" fontId="9" fillId="19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I144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① AMUSE JAPAN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タバコ</t>
        </is>
      </c>
      <c r="C4" s="6">
        <f>SUM(C5:C8)</f>
        <v/>
      </c>
      <c r="D4" s="6">
        <f>SUM(D5:D8)</f>
        <v/>
      </c>
      <c r="E4" s="6">
        <f>SUM(E5:E8)</f>
        <v/>
      </c>
      <c r="F4" s="6">
        <f>SUM(F5:F8)</f>
        <v/>
      </c>
      <c r="G4" s="6">
        <f>SUM(G5:G8)</f>
        <v/>
      </c>
      <c r="H4" s="6">
        <f>SUM(H5:H8)</f>
        <v/>
      </c>
      <c r="I4" s="7">
        <f>SUM(I5:I8)</f>
        <v/>
      </c>
    </row>
    <row r="5" ht="13" customHeight="1">
      <c r="A5" s="8" t="inlineStr">
        <is>
          <t>10</t>
        </is>
      </c>
      <c r="B5" s="8" t="inlineStr">
        <is>
          <t xml:space="preserve">  高田繊維</t>
        </is>
      </c>
      <c r="C5" s="9" t="n">
        <v>38164</v>
      </c>
      <c r="D5" s="9" t="n">
        <v>263012</v>
      </c>
      <c r="E5" s="9" t="n">
        <v>163936</v>
      </c>
      <c r="F5" s="9" t="n">
        <v>76516</v>
      </c>
      <c r="G5" s="9" t="n">
        <v>164688</v>
      </c>
      <c r="H5" s="9" t="n">
        <v>50572</v>
      </c>
      <c r="I5" s="10">
        <f>SUM(C5:H5)</f>
        <v/>
      </c>
    </row>
    <row r="6" ht="13" customHeight="1">
      <c r="A6" s="8" t="inlineStr">
        <is>
          <t>20</t>
        </is>
      </c>
      <c r="B6" s="8" t="inlineStr">
        <is>
          <t xml:space="preserve">  高田繊維</t>
        </is>
      </c>
      <c r="C6" s="9" t="n">
        <v>187436</v>
      </c>
      <c r="D6" s="9" t="n">
        <v>61100</v>
      </c>
      <c r="E6" s="9" t="n">
        <v>160176</v>
      </c>
      <c r="F6" s="9" t="n">
        <v>137616</v>
      </c>
      <c r="G6" s="9" t="n">
        <v>87796</v>
      </c>
      <c r="H6" s="9" t="n">
        <v>76892</v>
      </c>
      <c r="I6" s="10">
        <f>SUM(C6:H6)</f>
        <v/>
      </c>
    </row>
    <row r="7" ht="13" customHeight="1">
      <c r="A7" s="8" t="inlineStr">
        <is>
          <t>30</t>
        </is>
      </c>
      <c r="B7" s="8" t="inlineStr">
        <is>
          <t xml:space="preserve">  高田繊維</t>
        </is>
      </c>
      <c r="C7" s="9" t="n">
        <v>137616</v>
      </c>
      <c r="D7" s="9" t="n">
        <v>180856</v>
      </c>
      <c r="E7" s="9" t="n">
        <v>203792</v>
      </c>
      <c r="F7" s="9" t="n">
        <v>165064</v>
      </c>
      <c r="G7" s="9" t="n">
        <v>258500</v>
      </c>
      <c r="H7" s="9" t="n">
        <v>115808</v>
      </c>
      <c r="I7" s="10">
        <f>SUM(C7:H7)</f>
        <v/>
      </c>
    </row>
    <row r="8" ht="12" customHeight="1">
      <c r="A8" s="11" t="n"/>
      <c r="B8" s="11" t="n"/>
      <c r="C8" s="12" t="n"/>
      <c r="D8" s="12" t="n"/>
      <c r="E8" s="12" t="n"/>
      <c r="F8" s="12" t="n"/>
      <c r="G8" s="12" t="n"/>
      <c r="H8" s="12" t="n"/>
      <c r="I8" s="13" t="n"/>
    </row>
    <row r="9" ht="14" customHeight="1">
      <c r="A9" s="4" t="n"/>
      <c r="B9" s="5" t="inlineStr">
        <is>
          <t>▶ 給与系</t>
        </is>
      </c>
      <c r="C9" s="6">
        <f>SUM(C10:C15)</f>
        <v/>
      </c>
      <c r="D9" s="6">
        <f>SUM(D10:D15)</f>
        <v/>
      </c>
      <c r="E9" s="6">
        <f>SUM(E10:E15)</f>
        <v/>
      </c>
      <c r="F9" s="6">
        <f>SUM(F10:F15)</f>
        <v/>
      </c>
      <c r="G9" s="6">
        <f>SUM(G10:G15)</f>
        <v/>
      </c>
      <c r="H9" s="6">
        <f>SUM(H10:H15)</f>
        <v/>
      </c>
      <c r="I9" s="7">
        <f>SUM(I10:I15)</f>
        <v/>
      </c>
    </row>
    <row r="10" ht="13" customHeight="1">
      <c r="A10" s="8" t="inlineStr">
        <is>
          <t>14</t>
        </is>
      </c>
      <c r="B10" s="8" t="inlineStr">
        <is>
          <t xml:space="preserve">  給料（総支給）</t>
        </is>
      </c>
      <c r="C10" s="9" t="n">
        <v>3162960</v>
      </c>
      <c r="D10" s="9" t="n">
        <v>3178302</v>
      </c>
      <c r="E10" s="9" t="n">
        <v>3228927</v>
      </c>
      <c r="F10" s="9" t="n">
        <v>3069490</v>
      </c>
      <c r="G10" s="9" t="n">
        <v>3275463</v>
      </c>
      <c r="H10" s="9" t="n">
        <v>3342578</v>
      </c>
      <c r="I10" s="10">
        <f>SUM(C10:H10)</f>
        <v/>
      </c>
    </row>
    <row r="11" ht="13" customHeight="1">
      <c r="A11" s="8" t="inlineStr">
        <is>
          <t>31</t>
        </is>
      </c>
      <c r="B11" s="8" t="inlineStr">
        <is>
          <t xml:space="preserve">  厚生年金　会社負担</t>
        </is>
      </c>
      <c r="C11" s="9" t="n">
        <v>326990</v>
      </c>
      <c r="D11" s="9" t="n">
        <v>327036</v>
      </c>
      <c r="E11" s="9" t="n">
        <v>327411</v>
      </c>
      <c r="F11" s="9" t="n">
        <v>332834</v>
      </c>
      <c r="G11" s="9" t="n">
        <v>333376</v>
      </c>
      <c r="H11" s="9" t="n">
        <v>332855</v>
      </c>
      <c r="I11" s="10">
        <f>SUM(C11:H11)</f>
        <v/>
      </c>
    </row>
    <row r="12" ht="13" customHeight="1">
      <c r="A12" s="8" t="inlineStr">
        <is>
          <t>6</t>
        </is>
      </c>
      <c r="B12" s="8" t="inlineStr">
        <is>
          <t xml:space="preserve">  労働保険（9月11月2月）</t>
        </is>
      </c>
      <c r="C12" s="9" t="n"/>
      <c r="D12" s="9" t="n"/>
      <c r="E12" s="9" t="n">
        <v>251514</v>
      </c>
      <c r="F12" s="9" t="n"/>
      <c r="G12" s="9" t="n">
        <v>221752</v>
      </c>
      <c r="H12" s="9" t="n"/>
      <c r="I12" s="10">
        <f>SUM(C12:H12)</f>
        <v/>
      </c>
    </row>
    <row r="13" ht="13" customHeight="1">
      <c r="A13" s="8" t="inlineStr"/>
      <c r="B13" s="8" t="inlineStr">
        <is>
          <t xml:space="preserve">  社長へ返済</t>
        </is>
      </c>
      <c r="C13" s="9" t="n"/>
      <c r="D13" s="9" t="n"/>
      <c r="E13" s="9" t="n"/>
      <c r="F13" s="9" t="n"/>
      <c r="G13" s="9" t="n">
        <v>500000</v>
      </c>
      <c r="H13" s="9" t="n"/>
      <c r="I13" s="10">
        <f>SUM(C13:H13)</f>
        <v/>
      </c>
    </row>
    <row r="14" ht="13" customHeight="1">
      <c r="A14" s="8" t="inlineStr"/>
      <c r="B14" s="8" t="inlineStr">
        <is>
          <t xml:space="preserve">  後払い給与</t>
        </is>
      </c>
      <c r="C14" s="9" t="n"/>
      <c r="D14" s="9" t="n"/>
      <c r="E14" s="9" t="n"/>
      <c r="F14" s="9" t="n"/>
      <c r="G14" s="9" t="n"/>
      <c r="H14" s="9" t="n"/>
      <c r="I14" s="10">
        <f>SUM(C14:H14)</f>
        <v/>
      </c>
    </row>
    <row r="15" ht="1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3" t="n"/>
    </row>
    <row r="16" ht="14" customHeight="1">
      <c r="A16" s="4" t="n"/>
      <c r="B16" s="5" t="inlineStr">
        <is>
          <t>▶ 電気・ガス・水道</t>
        </is>
      </c>
      <c r="C16" s="6">
        <f>SUM(C17:C22)</f>
        <v/>
      </c>
      <c r="D16" s="6">
        <f>SUM(D17:D22)</f>
        <v/>
      </c>
      <c r="E16" s="6">
        <f>SUM(E17:E22)</f>
        <v/>
      </c>
      <c r="F16" s="6">
        <f>SUM(F17:F22)</f>
        <v/>
      </c>
      <c r="G16" s="6">
        <f>SUM(G17:G22)</f>
        <v/>
      </c>
      <c r="H16" s="6">
        <f>SUM(H17:H22)</f>
        <v/>
      </c>
      <c r="I16" s="7">
        <f>SUM(I17:I22)</f>
        <v/>
      </c>
    </row>
    <row r="17" ht="13" customHeight="1">
      <c r="A17" s="8" t="inlineStr">
        <is>
          <t>14</t>
        </is>
      </c>
      <c r="B17" s="8" t="inlineStr">
        <is>
          <t xml:space="preserve">  電気料金</t>
        </is>
      </c>
      <c r="C17" s="9" t="n">
        <v>1105416</v>
      </c>
      <c r="D17" s="9" t="n">
        <v>1196167</v>
      </c>
      <c r="E17" s="9" t="n">
        <v>1193304</v>
      </c>
      <c r="F17" s="9" t="n">
        <v>1082285</v>
      </c>
      <c r="G17" s="9" t="n">
        <v>939467</v>
      </c>
      <c r="H17" s="9" t="n">
        <v>877899</v>
      </c>
      <c r="I17" s="10">
        <f>SUM(C17:H17)</f>
        <v/>
      </c>
    </row>
    <row r="18" ht="13" customHeight="1">
      <c r="A18" s="8" t="inlineStr"/>
      <c r="B18" s="8" t="inlineStr">
        <is>
          <t xml:space="preserve">  駐車場　電気</t>
        </is>
      </c>
      <c r="C18" s="9" t="n">
        <v>5605</v>
      </c>
      <c r="D18" s="9" t="n">
        <v>5854</v>
      </c>
      <c r="E18" s="9" t="n">
        <v>5657</v>
      </c>
      <c r="F18" s="9" t="n">
        <v>6603</v>
      </c>
      <c r="G18" s="9" t="n">
        <v>7145</v>
      </c>
      <c r="H18" s="9" t="n">
        <v>6887</v>
      </c>
      <c r="I18" s="10">
        <f>SUM(C18:H18)</f>
        <v/>
      </c>
    </row>
    <row r="19" ht="13" customHeight="1">
      <c r="A19" s="8" t="inlineStr"/>
      <c r="B19" s="8" t="inlineStr">
        <is>
          <t xml:space="preserve">  駐車場　電気</t>
        </is>
      </c>
      <c r="C19" s="9" t="n">
        <v>2445</v>
      </c>
      <c r="D19" s="9" t="n">
        <v>2157</v>
      </c>
      <c r="E19" s="9" t="n">
        <v>2073</v>
      </c>
      <c r="F19" s="9" t="n">
        <v>2095</v>
      </c>
      <c r="G19" s="9" t="n">
        <v>2322</v>
      </c>
      <c r="H19" s="9" t="n">
        <v>2314</v>
      </c>
      <c r="I19" s="10">
        <f>SUM(C19:H19)</f>
        <v/>
      </c>
    </row>
    <row r="20" ht="13" customHeight="1">
      <c r="A20" s="8" t="inlineStr"/>
      <c r="B20" s="8" t="inlineStr">
        <is>
          <t xml:space="preserve">  東邦液化ｶﾞｽ　食堂</t>
        </is>
      </c>
      <c r="C20" s="9" t="n">
        <v>1507</v>
      </c>
      <c r="D20" s="9" t="n">
        <v>1892</v>
      </c>
      <c r="E20" s="9" t="n">
        <v>1262</v>
      </c>
      <c r="F20" s="9" t="n">
        <v>1200</v>
      </c>
      <c r="G20" s="9" t="n">
        <v>1500</v>
      </c>
      <c r="H20" s="9" t="n">
        <v>1500</v>
      </c>
      <c r="I20" s="10">
        <f>SUM(C20:H20)</f>
        <v/>
      </c>
    </row>
    <row r="21" ht="13" customHeight="1">
      <c r="A21" s="8" t="inlineStr">
        <is>
          <t>31</t>
        </is>
      </c>
      <c r="B21" s="8" t="inlineStr">
        <is>
          <t xml:space="preserve">  水道料(羽島）偶数月</t>
        </is>
      </c>
      <c r="C21" s="9" t="n"/>
      <c r="D21" s="9" t="n"/>
      <c r="E21" s="9" t="n"/>
      <c r="F21" s="9" t="n"/>
      <c r="G21" s="9" t="n"/>
      <c r="H21" s="9" t="n">
        <v>1892</v>
      </c>
      <c r="I21" s="10">
        <f>SUM(C21:H21)</f>
        <v/>
      </c>
    </row>
    <row r="22" ht="12" customHeight="1">
      <c r="A22" s="11" t="n"/>
      <c r="B22" s="11" t="n"/>
      <c r="C22" s="12" t="n"/>
      <c r="D22" s="12" t="n"/>
      <c r="E22" s="12" t="n"/>
      <c r="F22" s="12" t="n"/>
      <c r="G22" s="12" t="n"/>
      <c r="H22" s="12" t="n"/>
      <c r="I22" s="13" t="n"/>
    </row>
    <row r="23" ht="14" customHeight="1">
      <c r="A23" s="4" t="n"/>
      <c r="B23" s="5" t="inlineStr">
        <is>
          <t>▶ 雑費</t>
        </is>
      </c>
      <c r="C23" s="6">
        <f>SUM(C24:C48)</f>
        <v/>
      </c>
      <c r="D23" s="6">
        <f>SUM(D24:D48)</f>
        <v/>
      </c>
      <c r="E23" s="6">
        <f>SUM(E24:E48)</f>
        <v/>
      </c>
      <c r="F23" s="6">
        <f>SUM(F24:F48)</f>
        <v/>
      </c>
      <c r="G23" s="6">
        <f>SUM(G24:G48)</f>
        <v/>
      </c>
      <c r="H23" s="6">
        <f>SUM(H24:H48)</f>
        <v/>
      </c>
      <c r="I23" s="7">
        <f>SUM(I24:I48)</f>
        <v/>
      </c>
    </row>
    <row r="24" ht="13" customHeight="1">
      <c r="A24" s="8" t="inlineStr">
        <is>
          <t>17</t>
        </is>
      </c>
      <c r="B24" s="8" t="inlineStr">
        <is>
          <t xml:space="preserve">  日浦新聞店</t>
        </is>
      </c>
      <c r="C24" s="14" t="n">
        <v>7400</v>
      </c>
      <c r="D24" s="14" t="n">
        <v>7400</v>
      </c>
      <c r="E24" s="14" t="n">
        <v>7400</v>
      </c>
      <c r="F24" s="14" t="n">
        <v>7400</v>
      </c>
      <c r="G24" s="14" t="n">
        <v>7400</v>
      </c>
      <c r="H24" s="14" t="n">
        <v>7400</v>
      </c>
      <c r="I24" s="10">
        <f>SUM(C24:H24)</f>
        <v/>
      </c>
    </row>
    <row r="25" ht="13" customHeight="1">
      <c r="A25" s="8" t="inlineStr">
        <is>
          <t>10</t>
        </is>
      </c>
      <c r="B25" s="8" t="inlineStr">
        <is>
          <t xml:space="preserve">  ネットバンキング</t>
        </is>
      </c>
      <c r="C25" s="14" t="n">
        <v>3340</v>
      </c>
      <c r="D25" s="14" t="n">
        <v>3340</v>
      </c>
      <c r="E25" s="14" t="n">
        <v>3340</v>
      </c>
      <c r="F25" s="14" t="n">
        <v>3340</v>
      </c>
      <c r="G25" s="14" t="n">
        <v>3340</v>
      </c>
      <c r="H25" s="14" t="n">
        <v>3340</v>
      </c>
      <c r="I25" s="10">
        <f>SUM(C25:H25)</f>
        <v/>
      </c>
    </row>
    <row r="26" ht="13" customHeight="1">
      <c r="A26" s="8" t="inlineStr">
        <is>
          <t>10</t>
        </is>
      </c>
      <c r="B26" s="8" t="inlineStr">
        <is>
          <t xml:space="preserve">  振込手数料</t>
        </is>
      </c>
      <c r="C26" s="9" t="n">
        <v>36960</v>
      </c>
      <c r="D26" s="9" t="n">
        <v>18590</v>
      </c>
      <c r="E26" s="9" t="n">
        <v>9735</v>
      </c>
      <c r="F26" s="9" t="n">
        <v>33660</v>
      </c>
      <c r="G26" s="9" t="n">
        <v>19690</v>
      </c>
      <c r="H26" s="9" t="n">
        <v>9075</v>
      </c>
      <c r="I26" s="10">
        <f>SUM(C26:H26)</f>
        <v/>
      </c>
    </row>
    <row r="27" ht="13" customHeight="1">
      <c r="A27" s="8" t="inlineStr">
        <is>
          <t>20</t>
        </is>
      </c>
      <c r="B27" s="8" t="inlineStr">
        <is>
          <t xml:space="preserve">  大日へ立替分清算 前月分</t>
        </is>
      </c>
      <c r="C27" s="9" t="n">
        <v>8646</v>
      </c>
      <c r="D27" s="9" t="n">
        <v>3150</v>
      </c>
      <c r="E27" s="9" t="n">
        <v>3819</v>
      </c>
      <c r="F27" s="9" t="n">
        <v>19648</v>
      </c>
      <c r="G27" s="9" t="n">
        <v>1694</v>
      </c>
      <c r="H27" s="9" t="n">
        <v>34018</v>
      </c>
      <c r="I27" s="10">
        <f>SUM(C27:H27)</f>
        <v/>
      </c>
    </row>
    <row r="28" ht="13" customHeight="1">
      <c r="A28" s="8" t="inlineStr"/>
      <c r="B28" s="8" t="inlineStr">
        <is>
          <t xml:space="preserve">  山田組　廃棄物</t>
        </is>
      </c>
      <c r="C28" s="14" t="n">
        <v>19360</v>
      </c>
      <c r="D28" s="14" t="n">
        <v>19360</v>
      </c>
      <c r="E28" s="14" t="n">
        <v>19360</v>
      </c>
      <c r="F28" s="14" t="n">
        <v>19360</v>
      </c>
      <c r="G28" s="14" t="n">
        <v>19360</v>
      </c>
      <c r="H28" s="14" t="n">
        <v>19360</v>
      </c>
      <c r="I28" s="10">
        <f>SUM(C28:H28)</f>
        <v/>
      </c>
    </row>
    <row r="29" ht="13" customHeight="1">
      <c r="A29" s="8" t="inlineStr">
        <is>
          <t>8</t>
        </is>
      </c>
      <c r="B29" s="8" t="inlineStr">
        <is>
          <t xml:space="preserve">  小口現金　本社</t>
        </is>
      </c>
      <c r="C29" s="9" t="n"/>
      <c r="D29" s="9" t="n"/>
      <c r="E29" s="9" t="n">
        <v>100000</v>
      </c>
      <c r="F29" s="9" t="n">
        <v>50000</v>
      </c>
      <c r="G29" s="9" t="n">
        <v>200000</v>
      </c>
      <c r="H29" s="9" t="n">
        <v>150000</v>
      </c>
      <c r="I29" s="10">
        <f>SUM(C29:H29)</f>
        <v/>
      </c>
    </row>
    <row r="30" ht="13" customHeight="1">
      <c r="A30" s="8" t="inlineStr">
        <is>
          <t>4</t>
        </is>
      </c>
      <c r="B30" s="8" t="inlineStr">
        <is>
          <t xml:space="preserve">  小口現金</t>
        </is>
      </c>
      <c r="C30" s="14" t="n">
        <v>100000</v>
      </c>
      <c r="D30" s="14" t="n">
        <v>100000</v>
      </c>
      <c r="E30" s="14" t="n"/>
      <c r="F30" s="14" t="n"/>
      <c r="G30" s="14" t="n"/>
      <c r="H30" s="14" t="n"/>
      <c r="I30" s="10">
        <f>SUM(C30:H30)</f>
        <v/>
      </c>
    </row>
    <row r="31" ht="13" customHeight="1">
      <c r="A31" s="8" t="inlineStr"/>
      <c r="B31" s="8" t="inlineStr">
        <is>
          <t xml:space="preserve">  小口現金　店舗</t>
        </is>
      </c>
      <c r="C31" s="9" t="n"/>
      <c r="D31" s="9" t="n"/>
      <c r="E31" s="9" t="n"/>
      <c r="F31" s="9" t="n"/>
      <c r="G31" s="9" t="n">
        <v>110000</v>
      </c>
      <c r="H31" s="9" t="n"/>
      <c r="I31" s="10">
        <f>SUM(C31:H31)</f>
        <v/>
      </c>
    </row>
    <row r="32" ht="13" customHeight="1">
      <c r="A32" s="8" t="inlineStr">
        <is>
          <t>20</t>
        </is>
      </c>
      <c r="B32" s="8" t="inlineStr">
        <is>
          <t xml:space="preserve">  ネットプロテクションズ</t>
        </is>
      </c>
      <c r="C32" s="9" t="n"/>
      <c r="D32" s="9" t="n"/>
      <c r="E32" s="9" t="n">
        <v>10340</v>
      </c>
      <c r="F32" s="9" t="n">
        <v>16500</v>
      </c>
      <c r="G32" s="9" t="n"/>
      <c r="H32" s="9" t="n">
        <v>11220</v>
      </c>
      <c r="I32" s="10">
        <f>SUM(C32:H32)</f>
        <v/>
      </c>
    </row>
    <row r="33" ht="13" customHeight="1">
      <c r="A33" s="8" t="inlineStr">
        <is>
          <t>13</t>
        </is>
      </c>
      <c r="B33" s="8" t="inlineStr">
        <is>
          <t xml:space="preserve">  でんさい手数料</t>
        </is>
      </c>
      <c r="C33" s="9" t="n"/>
      <c r="D33" s="9" t="n"/>
      <c r="E33" s="9" t="n"/>
      <c r="F33" s="9" t="n"/>
      <c r="G33" s="9" t="n">
        <v>5940</v>
      </c>
      <c r="H33" s="9" t="n">
        <v>46860</v>
      </c>
      <c r="I33" s="10">
        <f>SUM(C33:H33)</f>
        <v/>
      </c>
    </row>
    <row r="34" ht="13" customHeight="1">
      <c r="A34" s="8" t="inlineStr"/>
      <c r="B34" s="8" t="inlineStr">
        <is>
          <t xml:space="preserve">  ヤマト</t>
        </is>
      </c>
      <c r="C34" s="9" t="n">
        <v>660</v>
      </c>
      <c r="D34" s="9" t="n"/>
      <c r="E34" s="9" t="n"/>
      <c r="F34" s="9" t="n"/>
      <c r="G34" s="9" t="n"/>
      <c r="H34" s="9" t="n"/>
      <c r="I34" s="10">
        <f>SUM(C34:H34)</f>
        <v/>
      </c>
    </row>
    <row r="35" ht="13" customHeight="1">
      <c r="A35" s="8" t="inlineStr">
        <is>
          <t>26</t>
        </is>
      </c>
      <c r="B35" s="8" t="inlineStr">
        <is>
          <t xml:space="preserve">  佐川急便</t>
        </is>
      </c>
      <c r="C35" s="9" t="n"/>
      <c r="D35" s="9" t="n"/>
      <c r="E35" s="9" t="n"/>
      <c r="F35" s="9" t="n"/>
      <c r="G35" s="9" t="n"/>
      <c r="H35" s="9" t="n">
        <v>909</v>
      </c>
      <c r="I35" s="10">
        <f>SUM(C35:H35)</f>
        <v/>
      </c>
    </row>
    <row r="36" ht="13" customHeight="1">
      <c r="A36" s="8" t="inlineStr"/>
      <c r="B36" s="8" t="inlineStr">
        <is>
          <t xml:space="preserve">  理念と経営</t>
        </is>
      </c>
      <c r="C36" s="9" t="n"/>
      <c r="D36" s="9" t="n">
        <v>11500</v>
      </c>
      <c r="E36" s="9" t="n"/>
      <c r="F36" s="9" t="n"/>
      <c r="G36" s="9" t="n"/>
      <c r="H36" s="9" t="n"/>
      <c r="I36" s="10">
        <f>SUM(C36:H36)</f>
        <v/>
      </c>
    </row>
    <row r="37" ht="13" customHeight="1">
      <c r="A37" s="8" t="inlineStr"/>
      <c r="B37" s="8" t="inlineStr">
        <is>
          <t xml:space="preserve">  IN　HOME　エアコン修理</t>
        </is>
      </c>
      <c r="C37" s="9" t="n"/>
      <c r="D37" s="9" t="n">
        <v>29700</v>
      </c>
      <c r="E37" s="9" t="n"/>
      <c r="F37" s="9" t="n"/>
      <c r="G37" s="9" t="n"/>
      <c r="H37" s="9" t="n"/>
      <c r="I37" s="10">
        <f>SUM(C37:H37)</f>
        <v/>
      </c>
    </row>
    <row r="38" ht="13" customHeight="1">
      <c r="A38" s="8" t="inlineStr"/>
      <c r="B38" s="8" t="inlineStr">
        <is>
          <t xml:space="preserve">  JQA定期審査</t>
        </is>
      </c>
      <c r="C38" s="9" t="n"/>
      <c r="D38" s="9" t="n"/>
      <c r="E38" s="9" t="n"/>
      <c r="F38" s="9" t="n">
        <v>251240</v>
      </c>
      <c r="G38" s="9" t="n"/>
      <c r="H38" s="9" t="n"/>
      <c r="I38" s="10">
        <f>SUM(C38:H38)</f>
        <v/>
      </c>
    </row>
    <row r="39" ht="13" customHeight="1">
      <c r="A39" s="8" t="inlineStr">
        <is>
          <t>20</t>
        </is>
      </c>
      <c r="B39" s="8" t="inlineStr">
        <is>
          <t xml:space="preserve">  エムテック</t>
        </is>
      </c>
      <c r="C39" s="9" t="n"/>
      <c r="D39" s="9" t="n"/>
      <c r="E39" s="9" t="n"/>
      <c r="F39" s="9" t="n"/>
      <c r="G39" s="9" t="n">
        <v>66000</v>
      </c>
      <c r="H39" s="9" t="n"/>
      <c r="I39" s="10">
        <f>SUM(C39:H39)</f>
        <v/>
      </c>
    </row>
    <row r="40" ht="13" customHeight="1">
      <c r="A40" s="8" t="inlineStr"/>
      <c r="B40" s="8" t="inlineStr">
        <is>
          <t xml:space="preserve">  トバナ産業</t>
        </is>
      </c>
      <c r="C40" s="9" t="n"/>
      <c r="D40" s="9" t="n"/>
      <c r="E40" s="9" t="n"/>
      <c r="F40" s="9" t="n"/>
      <c r="G40" s="9" t="n">
        <v>158400</v>
      </c>
      <c r="H40" s="9" t="n"/>
      <c r="I40" s="10">
        <f>SUM(C40:H40)</f>
        <v/>
      </c>
    </row>
    <row r="41" ht="13" customHeight="1">
      <c r="A41" s="8" t="inlineStr"/>
      <c r="B41" s="8" t="inlineStr">
        <is>
          <t xml:space="preserve">  浄化槽</t>
        </is>
      </c>
      <c r="C41" s="9" t="n"/>
      <c r="D41" s="9" t="n"/>
      <c r="E41" s="9" t="n"/>
      <c r="F41" s="9" t="n"/>
      <c r="G41" s="9" t="n">
        <v>10000</v>
      </c>
      <c r="H41" s="9" t="n"/>
      <c r="I41" s="10">
        <f>SUM(C41:H41)</f>
        <v/>
      </c>
    </row>
    <row r="42" ht="13" customHeight="1">
      <c r="A42" s="8" t="inlineStr"/>
      <c r="B42" s="8" t="inlineStr">
        <is>
          <t xml:space="preserve">  十六大日　立替</t>
        </is>
      </c>
      <c r="C42" s="9" t="n"/>
      <c r="D42" s="9" t="n"/>
      <c r="E42" s="9" t="n"/>
      <c r="F42" s="9" t="n"/>
      <c r="G42" s="9" t="n">
        <v>118140</v>
      </c>
      <c r="H42" s="9" t="n"/>
      <c r="I42" s="10">
        <f>SUM(C42:H42)</f>
        <v/>
      </c>
    </row>
    <row r="43" ht="13" customHeight="1">
      <c r="A43" s="8" t="inlineStr">
        <is>
          <t>10</t>
        </is>
      </c>
      <c r="B43" s="8" t="inlineStr">
        <is>
          <t xml:space="preserve">  覚建築</t>
        </is>
      </c>
      <c r="C43" s="9" t="n"/>
      <c r="D43" s="9" t="n"/>
      <c r="E43" s="9" t="n"/>
      <c r="F43" s="9" t="n"/>
      <c r="G43" s="9" t="n"/>
      <c r="H43" s="9" t="n">
        <v>108900</v>
      </c>
      <c r="I43" s="10">
        <f>SUM(C43:H43)</f>
        <v/>
      </c>
    </row>
    <row r="44" ht="13" customHeight="1">
      <c r="A44" s="8" t="inlineStr">
        <is>
          <t>20</t>
        </is>
      </c>
      <c r="B44" s="8" t="inlineStr">
        <is>
          <t xml:space="preserve">  北研</t>
        </is>
      </c>
      <c r="C44" s="9" t="n"/>
      <c r="D44" s="9" t="n"/>
      <c r="E44" s="9" t="n"/>
      <c r="F44" s="9" t="n"/>
      <c r="G44" s="9" t="n"/>
      <c r="H44" s="9" t="n">
        <v>99000</v>
      </c>
      <c r="I44" s="10">
        <f>SUM(C44:H44)</f>
        <v/>
      </c>
    </row>
    <row r="45" ht="13" customHeight="1">
      <c r="A45" s="8" t="inlineStr"/>
      <c r="B45" s="8" t="inlineStr">
        <is>
          <t xml:space="preserve">  Eats 田中　ワッツ</t>
        </is>
      </c>
      <c r="C45" s="9" t="n"/>
      <c r="D45" s="9" t="n"/>
      <c r="E45" s="9" t="n"/>
      <c r="F45" s="9" t="n"/>
      <c r="G45" s="9" t="n"/>
      <c r="H45" s="9" t="n">
        <v>101220</v>
      </c>
      <c r="I45" s="10">
        <f>SUM(C45:H45)</f>
        <v/>
      </c>
    </row>
    <row r="46" ht="13" customHeight="1">
      <c r="A46" s="8" t="inlineStr"/>
      <c r="B46" s="8" t="inlineStr">
        <is>
          <t xml:space="preserve">  雑費</t>
        </is>
      </c>
      <c r="C46" s="9" t="n"/>
      <c r="D46" s="9" t="n"/>
      <c r="E46" s="9" t="n"/>
      <c r="F46" s="9" t="n"/>
      <c r="G46" s="9" t="n"/>
      <c r="H46" s="9" t="n"/>
      <c r="I46" s="10">
        <f>SUM(C46:H46)</f>
        <v/>
      </c>
    </row>
    <row r="47" ht="13" customHeight="1">
      <c r="A47" s="8" t="inlineStr"/>
      <c r="B47" s="8" t="inlineStr">
        <is>
          <t xml:space="preserve">  店研創意</t>
        </is>
      </c>
      <c r="C47" s="9" t="n"/>
      <c r="D47" s="9" t="n"/>
      <c r="E47" s="9" t="n"/>
      <c r="F47" s="9" t="n"/>
      <c r="G47" s="9" t="n"/>
      <c r="H47" s="9" t="n"/>
      <c r="I47" s="10">
        <f>SUM(C47:H47)</f>
        <v/>
      </c>
    </row>
    <row r="48" ht="12" customHeight="1">
      <c r="A48" s="11" t="n"/>
      <c r="B48" s="11" t="n"/>
      <c r="C48" s="12" t="n"/>
      <c r="D48" s="12" t="n"/>
      <c r="E48" s="12" t="n"/>
      <c r="F48" s="12" t="n"/>
      <c r="G48" s="12" t="n"/>
      <c r="H48" s="12" t="n"/>
      <c r="I48" s="13" t="n"/>
    </row>
    <row r="49" ht="14" customHeight="1">
      <c r="A49" s="4" t="n"/>
      <c r="B49" s="5" t="inlineStr">
        <is>
          <t>▶ グループ間</t>
        </is>
      </c>
      <c r="C49" s="6">
        <f>SUM(C50:C52)</f>
        <v/>
      </c>
      <c r="D49" s="6">
        <f>SUM(D50:D52)</f>
        <v/>
      </c>
      <c r="E49" s="6">
        <f>SUM(E50:E52)</f>
        <v/>
      </c>
      <c r="F49" s="6">
        <f>SUM(F50:F52)</f>
        <v/>
      </c>
      <c r="G49" s="6">
        <f>SUM(G50:G52)</f>
        <v/>
      </c>
      <c r="H49" s="6">
        <f>SUM(H50:H52)</f>
        <v/>
      </c>
      <c r="I49" s="7">
        <f>SUM(I50:I52)</f>
        <v/>
      </c>
    </row>
    <row r="50" ht="13" customHeight="1">
      <c r="A50" s="8" t="inlineStr"/>
      <c r="B50" s="8" t="inlineStr">
        <is>
          <t xml:space="preserve">  大日　事務手数料</t>
        </is>
      </c>
      <c r="C50" s="14" t="n">
        <v>110000</v>
      </c>
      <c r="D50" s="14" t="n">
        <v>110000</v>
      </c>
      <c r="E50" s="14" t="n">
        <v>110000</v>
      </c>
      <c r="F50" s="14" t="n">
        <v>110000</v>
      </c>
      <c r="G50" s="14" t="n">
        <v>110000</v>
      </c>
      <c r="H50" s="14" t="n">
        <v>110000</v>
      </c>
      <c r="I50" s="10">
        <f>SUM(C50:H50)</f>
        <v/>
      </c>
    </row>
    <row r="51" ht="13" customHeight="1">
      <c r="A51" s="8" t="inlineStr"/>
      <c r="B51" s="8" t="inlineStr">
        <is>
          <t xml:space="preserve">  ウェルピア</t>
        </is>
      </c>
      <c r="C51" s="9" t="n"/>
      <c r="D51" s="9" t="n"/>
      <c r="E51" s="9" t="n"/>
      <c r="F51" s="9" t="n"/>
      <c r="G51" s="9" t="n"/>
      <c r="H51" s="9" t="n"/>
      <c r="I51" s="10">
        <f>SUM(C51:H51)</f>
        <v/>
      </c>
    </row>
    <row r="52" ht="12" customHeight="1">
      <c r="A52" s="11" t="n"/>
      <c r="B52" s="11" t="n"/>
      <c r="C52" s="12" t="n"/>
      <c r="D52" s="12" t="n"/>
      <c r="E52" s="12" t="n"/>
      <c r="F52" s="12" t="n"/>
      <c r="G52" s="12" t="n"/>
      <c r="H52" s="12" t="n"/>
      <c r="I52" s="13" t="n"/>
    </row>
    <row r="53" ht="14" customHeight="1">
      <c r="A53" s="4" t="n"/>
      <c r="B53" s="5" t="inlineStr">
        <is>
          <t>▶ 年払い</t>
        </is>
      </c>
      <c r="C53" s="6">
        <f>SUM(C54:C56)</f>
        <v/>
      </c>
      <c r="D53" s="6">
        <f>SUM(D54:D56)</f>
        <v/>
      </c>
      <c r="E53" s="6">
        <f>SUM(E54:E56)</f>
        <v/>
      </c>
      <c r="F53" s="6">
        <f>SUM(F54:F56)</f>
        <v/>
      </c>
      <c r="G53" s="6">
        <f>SUM(G54:G56)</f>
        <v/>
      </c>
      <c r="H53" s="6">
        <f>SUM(H54:H56)</f>
        <v/>
      </c>
      <c r="I53" s="7">
        <f>SUM(I54:I56)</f>
        <v/>
      </c>
    </row>
    <row r="54" ht="13" customHeight="1">
      <c r="A54" s="8" t="inlineStr"/>
      <c r="B54" s="8" t="inlineStr">
        <is>
          <t xml:space="preserve">  北研　管理費（毎年5月）343200</t>
        </is>
      </c>
      <c r="C54" s="9" t="n"/>
      <c r="D54" s="9" t="n"/>
      <c r="E54" s="9" t="n"/>
      <c r="F54" s="9" t="n"/>
      <c r="G54" s="9" t="n"/>
      <c r="H54" s="9" t="n"/>
      <c r="I54" s="10">
        <f>SUM(C54:H54)</f>
        <v/>
      </c>
    </row>
    <row r="55" ht="13" customHeight="1">
      <c r="A55" s="8" t="inlineStr"/>
      <c r="B55" s="8" t="inlineStr">
        <is>
          <t xml:space="preserve">  USEN (毎年1月振替）</t>
        </is>
      </c>
      <c r="C55" s="9" t="n"/>
      <c r="D55" s="9" t="n"/>
      <c r="E55" s="9" t="n"/>
      <c r="F55" s="9" t="n"/>
      <c r="G55" s="9" t="n"/>
      <c r="H55" s="9" t="n"/>
      <c r="I55" s="10">
        <f>SUM(C55:H55)</f>
        <v/>
      </c>
    </row>
    <row r="56" ht="12" customHeight="1">
      <c r="A56" s="11" t="n"/>
      <c r="B56" s="11" t="n"/>
      <c r="C56" s="12" t="n"/>
      <c r="D56" s="12" t="n"/>
      <c r="E56" s="12" t="n"/>
      <c r="F56" s="12" t="n"/>
      <c r="G56" s="12" t="n"/>
      <c r="H56" s="12" t="n"/>
      <c r="I56" s="13" t="n"/>
    </row>
    <row r="57" ht="14" customHeight="1">
      <c r="A57" s="4" t="n"/>
      <c r="B57" s="5" t="inlineStr">
        <is>
          <t>▶ 銀行返済</t>
        </is>
      </c>
      <c r="C57" s="6">
        <f>SUM(C58:C63)</f>
        <v/>
      </c>
      <c r="D57" s="6">
        <f>SUM(D58:D63)</f>
        <v/>
      </c>
      <c r="E57" s="6">
        <f>SUM(E58:E63)</f>
        <v/>
      </c>
      <c r="F57" s="6">
        <f>SUM(F58:F63)</f>
        <v/>
      </c>
      <c r="G57" s="6">
        <f>SUM(G58:G63)</f>
        <v/>
      </c>
      <c r="H57" s="6">
        <f>SUM(H58:H63)</f>
        <v/>
      </c>
      <c r="I57" s="7">
        <f>SUM(I58:I63)</f>
        <v/>
      </c>
    </row>
    <row r="58" ht="13" customHeight="1">
      <c r="A58" s="8" t="inlineStr">
        <is>
          <t>末</t>
        </is>
      </c>
      <c r="B58" s="8" t="inlineStr">
        <is>
          <t xml:space="preserve">  信用保証協会　　4千万　Ｒ7．6～（2回〜7回）</t>
        </is>
      </c>
      <c r="C58" s="9" t="n">
        <v>417679</v>
      </c>
      <c r="D58" s="9" t="n">
        <v>415746</v>
      </c>
      <c r="E58" s="9" t="n">
        <v>416797</v>
      </c>
      <c r="F58" s="9" t="n">
        <v>414892</v>
      </c>
      <c r="G58" s="9" t="n">
        <v>415914</v>
      </c>
      <c r="H58" s="9" t="n">
        <v>415473</v>
      </c>
      <c r="I58" s="10">
        <f>SUM(C58:H58)</f>
        <v/>
      </c>
    </row>
    <row r="59" ht="13" customHeight="1">
      <c r="A59" s="8" t="inlineStr">
        <is>
          <t>末</t>
        </is>
      </c>
      <c r="B59" s="8" t="inlineStr">
        <is>
          <t xml:space="preserve">  信用保証協会6千万（21回〜26回）</t>
        </is>
      </c>
      <c r="C59" s="9" t="n">
        <v>579878</v>
      </c>
      <c r="D59" s="9" t="n">
        <v>576520</v>
      </c>
      <c r="E59" s="9" t="n">
        <v>578264</v>
      </c>
      <c r="F59" s="9" t="n">
        <v>574958</v>
      </c>
      <c r="G59" s="9" t="n">
        <v>576650</v>
      </c>
      <c r="H59" s="9" t="n">
        <v>575843</v>
      </c>
      <c r="I59" s="10">
        <f>SUM(C59:H59)</f>
        <v/>
      </c>
    </row>
    <row r="60" ht="13" customHeight="1">
      <c r="A60" s="8" t="inlineStr">
        <is>
          <t>末</t>
        </is>
      </c>
      <c r="B60" s="8" t="inlineStr">
        <is>
          <t xml:space="preserve">  信用保証協会　4千万　Ｒ7．11～（1回〜2回）</t>
        </is>
      </c>
      <c r="C60" s="9" t="n"/>
      <c r="D60" s="9" t="n"/>
      <c r="E60" s="9" t="n"/>
      <c r="F60" s="9" t="n"/>
      <c r="G60" s="9" t="n">
        <v>400379</v>
      </c>
      <c r="H60" s="9" t="n">
        <v>399813</v>
      </c>
      <c r="I60" s="10">
        <f>SUM(C60:H60)</f>
        <v/>
      </c>
    </row>
    <row r="61" ht="13" customHeight="1">
      <c r="A61" s="8" t="inlineStr">
        <is>
          <t>末</t>
        </is>
      </c>
      <c r="B61" s="8" t="inlineStr">
        <is>
          <t xml:space="preserve">  岐阜信用金庫1億（21回〜26回）</t>
        </is>
      </c>
      <c r="C61" s="9" t="n">
        <v>1037164</v>
      </c>
      <c r="D61" s="9" t="n">
        <v>1028622</v>
      </c>
      <c r="E61" s="9" t="n">
        <v>1033055</v>
      </c>
      <c r="F61" s="9" t="n">
        <v>1024646</v>
      </c>
      <c r="G61" s="9" t="n">
        <v>1028947</v>
      </c>
      <c r="H61" s="9" t="n">
        <v>1026893</v>
      </c>
      <c r="I61" s="10">
        <f>SUM(C61:H61)</f>
        <v/>
      </c>
    </row>
    <row r="62" ht="13" customHeight="1">
      <c r="A62" s="8" t="inlineStr">
        <is>
          <t>末</t>
        </is>
      </c>
      <c r="B62" s="8" t="inlineStr">
        <is>
          <t xml:space="preserve">  政策金融公庫2億（58回〜63回）</t>
        </is>
      </c>
      <c r="C62" s="9" t="n">
        <v>1255945</v>
      </c>
      <c r="D62" s="9" t="n">
        <v>1254807</v>
      </c>
      <c r="E62" s="9" t="n">
        <v>1249260</v>
      </c>
      <c r="F62" s="9" t="n">
        <v>1252530</v>
      </c>
      <c r="G62" s="9" t="n">
        <v>1247056</v>
      </c>
      <c r="H62" s="9" t="n">
        <v>1250253</v>
      </c>
      <c r="I62" s="10">
        <f>SUM(C62:H62)</f>
        <v/>
      </c>
    </row>
    <row r="63" ht="1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3" t="n"/>
    </row>
    <row r="64" ht="14" customHeight="1">
      <c r="A64" s="4" t="n"/>
      <c r="B64" s="5" t="inlineStr">
        <is>
          <t>▶ 納税</t>
        </is>
      </c>
      <c r="C64" s="6">
        <f>SUM(C65:C68)</f>
        <v/>
      </c>
      <c r="D64" s="6">
        <f>SUM(D65:D68)</f>
        <v/>
      </c>
      <c r="E64" s="6">
        <f>SUM(E65:E68)</f>
        <v/>
      </c>
      <c r="F64" s="6">
        <f>SUM(F65:F68)</f>
        <v/>
      </c>
      <c r="G64" s="6">
        <f>SUM(G65:G68)</f>
        <v/>
      </c>
      <c r="H64" s="6">
        <f>SUM(H65:H68)</f>
        <v/>
      </c>
      <c r="I64" s="7">
        <f>SUM(I65:I68)</f>
        <v/>
      </c>
    </row>
    <row r="65" ht="13" customHeight="1">
      <c r="A65" s="8" t="inlineStr">
        <is>
          <t>15</t>
        </is>
      </c>
      <c r="B65" s="8" t="inlineStr">
        <is>
          <t xml:space="preserve">  （消費税）（1回〜3回）</t>
        </is>
      </c>
      <c r="C65" s="9" t="n"/>
      <c r="D65" s="9" t="n"/>
      <c r="E65" s="9" t="n">
        <v>1750000</v>
      </c>
      <c r="F65" s="9" t="n">
        <v>1750000</v>
      </c>
      <c r="G65" s="9" t="n">
        <v>1750000</v>
      </c>
      <c r="H65" s="9" t="n">
        <v>1638500</v>
      </c>
      <c r="I65" s="10">
        <f>SUM(C65:H65)</f>
        <v/>
      </c>
    </row>
    <row r="66" ht="13" customHeight="1">
      <c r="A66" s="8" t="inlineStr"/>
      <c r="B66" s="8" t="inlineStr">
        <is>
          <t xml:space="preserve">  固定資産　（4.7.12.2月）276000</t>
        </is>
      </c>
      <c r="C66" s="9" t="n">
        <v>276000</v>
      </c>
      <c r="D66" s="9" t="n"/>
      <c r="E66" s="9" t="n"/>
      <c r="F66" s="9" t="n"/>
      <c r="G66" s="9" t="n"/>
      <c r="H66" s="9" t="n">
        <v>280000</v>
      </c>
      <c r="I66" s="10">
        <f>SUM(C66:H66)</f>
        <v/>
      </c>
    </row>
    <row r="67" ht="13" customHeight="1">
      <c r="A67" s="8" t="inlineStr"/>
      <c r="B67" s="8" t="inlineStr">
        <is>
          <t xml:space="preserve">  （法人税　消費税）</t>
        </is>
      </c>
      <c r="C67" s="9" t="n"/>
      <c r="D67" s="9" t="n">
        <v>72000</v>
      </c>
      <c r="E67" s="9" t="n"/>
      <c r="F67" s="9" t="n"/>
      <c r="G67" s="9" t="n"/>
      <c r="H67" s="9" t="n"/>
      <c r="I67" s="10">
        <f>SUM(C67:H67)</f>
        <v/>
      </c>
    </row>
    <row r="68" ht="12" customHeight="1">
      <c r="A68" s="11" t="n"/>
      <c r="B68" s="11" t="n"/>
      <c r="C68" s="12" t="n"/>
      <c r="D68" s="12" t="n"/>
      <c r="E68" s="12" t="n"/>
      <c r="F68" s="12" t="n"/>
      <c r="G68" s="12" t="n"/>
      <c r="H68" s="12" t="n"/>
      <c r="I68" s="13" t="n"/>
    </row>
    <row r="69" ht="14" customHeight="1">
      <c r="A69" s="4" t="n"/>
      <c r="B69" s="5" t="inlineStr">
        <is>
          <t>▶ 雑費、保守、メンテ</t>
        </is>
      </c>
      <c r="C69" s="6">
        <f>SUM(C70:C80)</f>
        <v/>
      </c>
      <c r="D69" s="6">
        <f>SUM(D70:D80)</f>
        <v/>
      </c>
      <c r="E69" s="6">
        <f>SUM(E70:E80)</f>
        <v/>
      </c>
      <c r="F69" s="6">
        <f>SUM(F70:F80)</f>
        <v/>
      </c>
      <c r="G69" s="6">
        <f>SUM(G70:G80)</f>
        <v/>
      </c>
      <c r="H69" s="6">
        <f>SUM(H70:H80)</f>
        <v/>
      </c>
      <c r="I69" s="7">
        <f>SUM(I70:I80)</f>
        <v/>
      </c>
    </row>
    <row r="70" ht="13" customHeight="1">
      <c r="A70" s="8" t="inlineStr"/>
      <c r="B70" s="8" t="inlineStr">
        <is>
          <t xml:space="preserve">  イージス４</t>
        </is>
      </c>
      <c r="C70" s="14" t="n">
        <v>11083</v>
      </c>
      <c r="D70" s="14" t="n">
        <v>11083</v>
      </c>
      <c r="E70" s="14" t="n">
        <v>11083</v>
      </c>
      <c r="F70" s="14" t="n">
        <v>11083</v>
      </c>
      <c r="G70" s="14" t="n">
        <v>11083</v>
      </c>
      <c r="H70" s="14" t="n">
        <v>11083</v>
      </c>
      <c r="I70" s="10">
        <f>SUM(C70:H70)</f>
        <v/>
      </c>
    </row>
    <row r="71" ht="13" customHeight="1">
      <c r="A71" s="8" t="inlineStr"/>
      <c r="B71" s="8" t="inlineStr">
        <is>
          <t xml:space="preserve">  北電子　遊動</t>
        </is>
      </c>
      <c r="C71" s="14" t="n">
        <v>16280</v>
      </c>
      <c r="D71" s="14" t="n">
        <v>16280</v>
      </c>
      <c r="E71" s="14" t="n">
        <v>16280</v>
      </c>
      <c r="F71" s="14" t="n">
        <v>16280</v>
      </c>
      <c r="G71" s="14" t="n">
        <v>16280</v>
      </c>
      <c r="H71" s="14" t="n">
        <v>16280</v>
      </c>
      <c r="I71" s="10">
        <f>SUM(C71:H71)</f>
        <v/>
      </c>
    </row>
    <row r="72" ht="13" customHeight="1">
      <c r="A72" s="8" t="inlineStr">
        <is>
          <t>6</t>
        </is>
      </c>
      <c r="B72" s="8" t="inlineStr">
        <is>
          <t xml:space="preserve">  ブリックス社労士事務所</t>
        </is>
      </c>
      <c r="C72" s="9" t="n">
        <v>38919</v>
      </c>
      <c r="D72" s="9" t="n">
        <v>38919</v>
      </c>
      <c r="E72" s="9" t="n">
        <v>38919</v>
      </c>
      <c r="F72" s="9" t="n">
        <v>34100</v>
      </c>
      <c r="G72" s="9" t="n">
        <v>34100</v>
      </c>
      <c r="H72" s="9" t="n">
        <v>34100</v>
      </c>
      <c r="I72" s="10">
        <f>SUM(C72:H72)</f>
        <v/>
      </c>
    </row>
    <row r="73" ht="13" customHeight="1">
      <c r="A73" s="8" t="inlineStr"/>
      <c r="B73" s="8" t="inlineStr">
        <is>
          <t xml:space="preserve">  位田会計事務所</t>
        </is>
      </c>
      <c r="C73" s="9" t="n">
        <v>72600</v>
      </c>
      <c r="D73" s="9" t="n">
        <v>508200</v>
      </c>
      <c r="E73" s="9" t="n">
        <v>72600</v>
      </c>
      <c r="F73" s="9" t="n">
        <v>72600</v>
      </c>
      <c r="G73" s="9" t="n">
        <v>145200</v>
      </c>
      <c r="H73" s="9" t="n">
        <v>72600</v>
      </c>
      <c r="I73" s="10">
        <f>SUM(C73:H73)</f>
        <v/>
      </c>
    </row>
    <row r="74" ht="13" customHeight="1">
      <c r="A74" s="8" t="inlineStr">
        <is>
          <t>26</t>
        </is>
      </c>
      <c r="B74" s="8" t="inlineStr">
        <is>
          <t xml:space="preserve">  グローリーナスカ</t>
        </is>
      </c>
      <c r="C74" s="9" t="n">
        <v>358579</v>
      </c>
      <c r="D74" s="9" t="n">
        <v>359022</v>
      </c>
      <c r="E74" s="9" t="n">
        <v>361751</v>
      </c>
      <c r="F74" s="9" t="n">
        <v>357624</v>
      </c>
      <c r="G74" s="9" t="n">
        <v>358332</v>
      </c>
      <c r="H74" s="9" t="n">
        <v>358196</v>
      </c>
      <c r="I74" s="10">
        <f>SUM(C74:H74)</f>
        <v/>
      </c>
    </row>
    <row r="75" ht="13" customHeight="1">
      <c r="A75" s="8" t="inlineStr">
        <is>
          <t>27</t>
        </is>
      </c>
      <c r="B75" s="8" t="inlineStr">
        <is>
          <t xml:space="preserve">  ﾒﾃﾞｨｱｼｽﾃﾑ㈱　Dサーバー</t>
        </is>
      </c>
      <c r="C75" s="9" t="n">
        <v>81000</v>
      </c>
      <c r="D75" s="9" t="n">
        <v>81000</v>
      </c>
      <c r="E75" s="9" t="n">
        <v>81000</v>
      </c>
      <c r="F75" s="9" t="n">
        <v>82500</v>
      </c>
      <c r="G75" s="9" t="n">
        <v>82500</v>
      </c>
      <c r="H75" s="9" t="n">
        <v>33000</v>
      </c>
      <c r="I75" s="10">
        <f>SUM(C75:H75)</f>
        <v/>
      </c>
    </row>
    <row r="76" ht="13" customHeight="1">
      <c r="A76" s="8" t="inlineStr">
        <is>
          <t>26</t>
        </is>
      </c>
      <c r="B76" s="8" t="inlineStr">
        <is>
          <t xml:space="preserve">  綜合警備保障　入金機</t>
        </is>
      </c>
      <c r="C76" s="14" t="n">
        <v>89640</v>
      </c>
      <c r="D76" s="14" t="n">
        <v>89640</v>
      </c>
      <c r="E76" s="14" t="n">
        <v>89640</v>
      </c>
      <c r="F76" s="14" t="n">
        <v>89640</v>
      </c>
      <c r="G76" s="14" t="n">
        <v>89640</v>
      </c>
      <c r="H76" s="14" t="n">
        <v>89640</v>
      </c>
      <c r="I76" s="10">
        <f>SUM(C76:H76)</f>
        <v/>
      </c>
    </row>
    <row r="77" ht="13" customHeight="1">
      <c r="A77" s="8" t="inlineStr">
        <is>
          <t>26</t>
        </is>
      </c>
      <c r="B77" s="8" t="inlineStr">
        <is>
          <t xml:space="preserve">  大東建託　北出</t>
        </is>
      </c>
      <c r="C77" s="9" t="n">
        <v>63180</v>
      </c>
      <c r="D77" s="9" t="n">
        <v>63180</v>
      </c>
      <c r="E77" s="9" t="n">
        <v>63180</v>
      </c>
      <c r="F77" s="9" t="n">
        <v>69480</v>
      </c>
      <c r="G77" s="9" t="n">
        <v>69480</v>
      </c>
      <c r="H77" s="9" t="n">
        <v>76250</v>
      </c>
      <c r="I77" s="10">
        <f>SUM(C77:H77)</f>
        <v/>
      </c>
    </row>
    <row r="78" ht="13" customHeight="1">
      <c r="A78" s="8" t="inlineStr"/>
      <c r="B78" s="8" t="inlineStr">
        <is>
          <t xml:space="preserve">  日浦新聞店</t>
        </is>
      </c>
      <c r="C78" s="14" t="n">
        <v>6763</v>
      </c>
      <c r="D78" s="14" t="n">
        <v>6763</v>
      </c>
      <c r="E78" s="14" t="n">
        <v>6763</v>
      </c>
      <c r="F78" s="14" t="n">
        <v>6763</v>
      </c>
      <c r="G78" s="14" t="n"/>
      <c r="H78" s="14" t="n"/>
      <c r="I78" s="10">
        <f>SUM(C78:H78)</f>
        <v/>
      </c>
    </row>
    <row r="79" ht="13" customHeight="1">
      <c r="A79" s="8" t="inlineStr">
        <is>
          <t>20</t>
        </is>
      </c>
      <c r="B79" s="8" t="inlineStr">
        <is>
          <t xml:space="preserve">  岐阜県遊協</t>
        </is>
      </c>
      <c r="C79" s="9" t="n"/>
      <c r="D79" s="9" t="n">
        <v>80000</v>
      </c>
      <c r="E79" s="9" t="n"/>
      <c r="F79" s="9" t="n">
        <v>196100</v>
      </c>
      <c r="G79" s="9" t="n"/>
      <c r="H79" s="9" t="n"/>
      <c r="I79" s="10">
        <f>SUM(C79:H79)</f>
        <v/>
      </c>
    </row>
    <row r="80" ht="12" customHeight="1">
      <c r="A80" s="11" t="n"/>
      <c r="B80" s="11" t="n"/>
      <c r="C80" s="12" t="n"/>
      <c r="D80" s="12" t="n"/>
      <c r="E80" s="12" t="n"/>
      <c r="F80" s="12" t="n"/>
      <c r="G80" s="12" t="n"/>
      <c r="H80" s="12" t="n"/>
      <c r="I80" s="13" t="n"/>
    </row>
    <row r="81" ht="14" customHeight="1">
      <c r="A81" s="4" t="n"/>
      <c r="B81" s="5" t="inlineStr">
        <is>
          <t>▶ 通信系</t>
        </is>
      </c>
      <c r="C81" s="6">
        <f>SUM(C82:C89)</f>
        <v/>
      </c>
      <c r="D81" s="6">
        <f>SUM(D82:D89)</f>
        <v/>
      </c>
      <c r="E81" s="6">
        <f>SUM(E82:E89)</f>
        <v/>
      </c>
      <c r="F81" s="6">
        <f>SUM(F82:F89)</f>
        <v/>
      </c>
      <c r="G81" s="6">
        <f>SUM(G82:G89)</f>
        <v/>
      </c>
      <c r="H81" s="6">
        <f>SUM(H82:H89)</f>
        <v/>
      </c>
      <c r="I81" s="7">
        <f>SUM(I82:I89)</f>
        <v/>
      </c>
    </row>
    <row r="82" ht="13" customHeight="1">
      <c r="A82" s="8" t="inlineStr">
        <is>
          <t>10</t>
        </is>
      </c>
      <c r="B82" s="8" t="inlineStr">
        <is>
          <t xml:space="preserve">  十六ＬＩＮＥ　ＰＡＹ（大日十六）</t>
        </is>
      </c>
      <c r="C82" s="14" t="n">
        <v>5500</v>
      </c>
      <c r="D82" s="14" t="n">
        <v>5500</v>
      </c>
      <c r="E82" s="14" t="n">
        <v>5500</v>
      </c>
      <c r="F82" s="14" t="n">
        <v>5500</v>
      </c>
      <c r="G82" s="14" t="n">
        <v>5500</v>
      </c>
      <c r="H82" s="14" t="n">
        <v>5500</v>
      </c>
      <c r="I82" s="10">
        <f>SUM(C82:H82)</f>
        <v/>
      </c>
    </row>
    <row r="83" ht="13" customHeight="1">
      <c r="A83" s="8" t="inlineStr">
        <is>
          <t>10</t>
        </is>
      </c>
      <c r="B83" s="8" t="inlineStr">
        <is>
          <t xml:space="preserve">  テレ．マ－カ－（ＳＭ　TM保守</t>
        </is>
      </c>
      <c r="C83" s="14" t="n">
        <v>6765</v>
      </c>
      <c r="D83" s="14" t="n">
        <v>6765</v>
      </c>
      <c r="E83" s="14" t="n">
        <v>6765</v>
      </c>
      <c r="F83" s="14" t="n">
        <v>6765</v>
      </c>
      <c r="G83" s="14" t="n">
        <v>6765</v>
      </c>
      <c r="H83" s="14" t="n">
        <v>6765</v>
      </c>
      <c r="I83" s="10">
        <f>SUM(C83:H83)</f>
        <v/>
      </c>
    </row>
    <row r="84" ht="13" customHeight="1">
      <c r="A84" s="8" t="inlineStr"/>
      <c r="B84" s="8" t="inlineStr">
        <is>
          <t xml:space="preserve">  テレ．マ－カ－（ＳＭ　フレッツ光</t>
        </is>
      </c>
      <c r="C84" s="14" t="n">
        <v>1320</v>
      </c>
      <c r="D84" s="14" t="n">
        <v>1320</v>
      </c>
      <c r="E84" s="14" t="n">
        <v>1320</v>
      </c>
      <c r="F84" s="14" t="n">
        <v>1320</v>
      </c>
      <c r="G84" s="14" t="n">
        <v>1320</v>
      </c>
      <c r="H84" s="14" t="n">
        <v>1320</v>
      </c>
      <c r="I84" s="10">
        <f>SUM(C84:H84)</f>
        <v/>
      </c>
    </row>
    <row r="85" ht="13" customHeight="1">
      <c r="A85" s="8" t="inlineStr"/>
      <c r="B85" s="8" t="inlineStr">
        <is>
          <t xml:space="preserve">  ＮＴＴファイナンス</t>
        </is>
      </c>
      <c r="C85" s="9" t="n">
        <v>5401</v>
      </c>
      <c r="D85" s="9" t="n">
        <v>5401</v>
      </c>
      <c r="E85" s="9" t="n">
        <v>5401</v>
      </c>
      <c r="F85" s="9" t="n">
        <v>5401</v>
      </c>
      <c r="G85" s="9" t="n">
        <v>5291</v>
      </c>
      <c r="H85" s="9" t="n">
        <v>5401</v>
      </c>
      <c r="I85" s="10">
        <f>SUM(C85:H85)</f>
        <v/>
      </c>
    </row>
    <row r="86" ht="13" customHeight="1">
      <c r="A86" s="8" t="inlineStr"/>
      <c r="B86" s="8" t="inlineStr">
        <is>
          <t xml:space="preserve">  KDDI（IP）</t>
        </is>
      </c>
      <c r="C86" s="14" t="n">
        <v>2500</v>
      </c>
      <c r="D86" s="14" t="n">
        <v>2500</v>
      </c>
      <c r="E86" s="14" t="n">
        <v>2500</v>
      </c>
      <c r="F86" s="14" t="n">
        <v>2500</v>
      </c>
      <c r="G86" s="14" t="n">
        <v>2500</v>
      </c>
      <c r="H86" s="14" t="n">
        <v>2500</v>
      </c>
      <c r="I86" s="10">
        <f>SUM(C86:H86)</f>
        <v/>
      </c>
    </row>
    <row r="87" ht="13" customHeight="1">
      <c r="A87" s="8" t="inlineStr">
        <is>
          <t>10</t>
        </is>
      </c>
      <c r="B87" s="8" t="inlineStr">
        <is>
          <t xml:space="preserve">  NTT(5回線）</t>
        </is>
      </c>
      <c r="C87" s="9" t="n">
        <v>24081</v>
      </c>
      <c r="D87" s="9" t="n">
        <v>23790</v>
      </c>
      <c r="E87" s="9" t="n">
        <v>23905</v>
      </c>
      <c r="F87" s="9" t="n">
        <v>24038</v>
      </c>
      <c r="G87" s="9" t="n">
        <v>24700</v>
      </c>
      <c r="H87" s="9" t="n">
        <v>24229</v>
      </c>
      <c r="I87" s="10">
        <f>SUM(C87:H87)</f>
        <v/>
      </c>
    </row>
    <row r="88" ht="13" customHeight="1">
      <c r="A88" s="8" t="inlineStr"/>
      <c r="B88" s="8" t="inlineStr">
        <is>
          <t xml:space="preserve">  NHK</t>
        </is>
      </c>
      <c r="C88" s="14" t="n">
        <v>2200</v>
      </c>
      <c r="D88" s="14" t="n"/>
      <c r="E88" s="14" t="n">
        <v>2200</v>
      </c>
      <c r="F88" s="14" t="n"/>
      <c r="G88" s="14" t="n"/>
      <c r="H88" s="14" t="n"/>
      <c r="I88" s="10">
        <f>SUM(C88:H88)</f>
        <v/>
      </c>
    </row>
    <row r="89" ht="1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3" t="n"/>
    </row>
    <row r="90" ht="14" customHeight="1">
      <c r="A90" s="4" t="n"/>
      <c r="B90" s="5" t="inlineStr">
        <is>
          <t>▶ 月末支払い</t>
        </is>
      </c>
      <c r="C90" s="6">
        <f>SUM(C91:C92)</f>
        <v/>
      </c>
      <c r="D90" s="6">
        <f>SUM(D91:D92)</f>
        <v/>
      </c>
      <c r="E90" s="6">
        <f>SUM(E91:E92)</f>
        <v/>
      </c>
      <c r="F90" s="6">
        <f>SUM(F91:F92)</f>
        <v/>
      </c>
      <c r="G90" s="6">
        <f>SUM(G91:G92)</f>
        <v/>
      </c>
      <c r="H90" s="6">
        <f>SUM(H91:H92)</f>
        <v/>
      </c>
      <c r="I90" s="7">
        <f>SUM(I91:I92)</f>
        <v/>
      </c>
    </row>
    <row r="91" ht="13" customHeight="1">
      <c r="A91" s="8" t="inlineStr">
        <is>
          <t>28</t>
        </is>
      </c>
      <c r="B91" s="8" t="inlineStr">
        <is>
          <t xml:space="preserve">  月末　振込分</t>
        </is>
      </c>
      <c r="C91" s="9" t="n">
        <v>2384659</v>
      </c>
      <c r="D91" s="9" t="n">
        <v>2640492</v>
      </c>
      <c r="E91" s="9" t="n">
        <v>3041886</v>
      </c>
      <c r="F91" s="9" t="n">
        <v>2540355</v>
      </c>
      <c r="G91" s="9" t="n">
        <v>2773049</v>
      </c>
      <c r="H91" s="9" t="n">
        <v>2995140</v>
      </c>
      <c r="I91" s="10">
        <f>SUM(C91:H91)</f>
        <v/>
      </c>
    </row>
    <row r="92" ht="12" customHeight="1">
      <c r="A92" s="11" t="n"/>
      <c r="B92" s="11" t="n"/>
      <c r="C92" s="12" t="n"/>
      <c r="D92" s="12" t="n"/>
      <c r="E92" s="12" t="n"/>
      <c r="F92" s="12" t="n"/>
      <c r="G92" s="12" t="n"/>
      <c r="H92" s="12" t="n"/>
      <c r="I92" s="13" t="n"/>
    </row>
    <row r="93" ht="14" customHeight="1">
      <c r="A93" s="4" t="n"/>
      <c r="B93" s="5" t="inlineStr">
        <is>
          <t>▶ ＠機械</t>
        </is>
      </c>
      <c r="C93" s="6">
        <f>SUM(C94:C100)</f>
        <v/>
      </c>
      <c r="D93" s="6">
        <f>SUM(D94:D100)</f>
        <v/>
      </c>
      <c r="E93" s="6">
        <f>SUM(E94:E100)</f>
        <v/>
      </c>
      <c r="F93" s="6">
        <f>SUM(F94:F100)</f>
        <v/>
      </c>
      <c r="G93" s="6">
        <f>SUM(G94:G100)</f>
        <v/>
      </c>
      <c r="H93" s="6">
        <f>SUM(H94:H100)</f>
        <v/>
      </c>
      <c r="I93" s="7">
        <f>SUM(I94:I100)</f>
        <v/>
      </c>
    </row>
    <row r="94" ht="13" customHeight="1">
      <c r="A94" s="8" t="inlineStr">
        <is>
          <t>20</t>
        </is>
      </c>
      <c r="B94" s="8" t="inlineStr">
        <is>
          <t xml:space="preserve">  フジコム（設備割賦　手形）</t>
        </is>
      </c>
      <c r="C94" s="9" t="n">
        <v>1177330</v>
      </c>
      <c r="D94" s="9" t="n">
        <v>1177330</v>
      </c>
      <c r="E94" s="9" t="n">
        <v>1177330</v>
      </c>
      <c r="F94" s="9" t="n">
        <v>1177330</v>
      </c>
      <c r="G94" s="9" t="n">
        <v>1272975</v>
      </c>
      <c r="H94" s="9" t="n">
        <v>1272975</v>
      </c>
      <c r="I94" s="10">
        <f>SUM(C94:H94)</f>
        <v/>
      </c>
    </row>
    <row r="95" ht="13" customHeight="1">
      <c r="A95" s="8" t="inlineStr">
        <is>
          <t>20</t>
        </is>
      </c>
      <c r="B95" s="8" t="inlineStr">
        <is>
          <t xml:space="preserve">  フジコム（台割賦　手形）</t>
        </is>
      </c>
      <c r="C95" s="9" t="n">
        <v>1270500</v>
      </c>
      <c r="D95" s="9" t="n">
        <v>969650</v>
      </c>
      <c r="E95" s="9" t="n">
        <v>921470</v>
      </c>
      <c r="F95" s="9" t="n">
        <v>546150</v>
      </c>
      <c r="G95" s="9" t="n">
        <v>396440</v>
      </c>
      <c r="H95" s="9" t="n">
        <v>102300</v>
      </c>
      <c r="I95" s="10">
        <f>SUM(C95:H95)</f>
        <v/>
      </c>
    </row>
    <row r="96" ht="13" customHeight="1">
      <c r="A96" s="8" t="inlineStr"/>
      <c r="B96" s="8" t="inlineStr">
        <is>
          <t xml:space="preserve">  十六ﾘｰｽ（設備割賦＆リース）</t>
        </is>
      </c>
      <c r="C96" s="9" t="n">
        <v>441870</v>
      </c>
      <c r="D96" s="9" t="n">
        <v>625350</v>
      </c>
      <c r="E96" s="9" t="n">
        <v>441870</v>
      </c>
      <c r="F96" s="9" t="n">
        <v>441870</v>
      </c>
      <c r="G96" s="9" t="n">
        <v>441870</v>
      </c>
      <c r="H96" s="9" t="n">
        <v>441870</v>
      </c>
      <c r="I96" s="10">
        <f>SUM(C96:H96)</f>
        <v/>
      </c>
    </row>
    <row r="97" ht="13" customHeight="1">
      <c r="A97" s="8" t="inlineStr">
        <is>
          <t>22</t>
        </is>
      </c>
      <c r="B97" s="8" t="inlineStr">
        <is>
          <t xml:space="preserve">  十六ﾘｰｽ（台割賦）</t>
        </is>
      </c>
      <c r="C97" s="9" t="n">
        <v>2518505</v>
      </c>
      <c r="D97" s="9" t="n">
        <v>2567015</v>
      </c>
      <c r="E97" s="9" t="n">
        <v>2328975</v>
      </c>
      <c r="F97" s="9" t="n">
        <v>2179595</v>
      </c>
      <c r="G97" s="9" t="n">
        <v>2194445</v>
      </c>
      <c r="H97" s="9" t="n">
        <v>2657985</v>
      </c>
      <c r="I97" s="10">
        <f>SUM(C97:H97)</f>
        <v/>
      </c>
    </row>
    <row r="98" ht="13" customHeight="1">
      <c r="A98" s="8" t="inlineStr">
        <is>
          <t>22</t>
        </is>
      </c>
      <c r="B98" s="8" t="inlineStr">
        <is>
          <t xml:space="preserve">  しんきんリース　ｺﾋﾟｰ機</t>
        </is>
      </c>
      <c r="C98" s="14" t="n">
        <v>13860</v>
      </c>
      <c r="D98" s="14" t="n">
        <v>13860</v>
      </c>
      <c r="E98" s="14" t="n">
        <v>13860</v>
      </c>
      <c r="F98" s="14" t="n">
        <v>13860</v>
      </c>
      <c r="G98" s="14" t="n">
        <v>13860</v>
      </c>
      <c r="H98" s="14" t="n">
        <v>13860</v>
      </c>
      <c r="I98" s="10">
        <f>SUM(C98:H98)</f>
        <v/>
      </c>
    </row>
    <row r="99" ht="13" customHeight="1">
      <c r="A99" s="8" t="inlineStr"/>
      <c r="B99" s="8" t="inlineStr">
        <is>
          <t xml:space="preserve">  ＮＴＴ　ＴＣリ－ス</t>
        </is>
      </c>
      <c r="C99" s="14" t="n">
        <v>15950</v>
      </c>
      <c r="D99" s="14" t="n">
        <v>15950</v>
      </c>
      <c r="E99" s="14" t="n">
        <v>15950</v>
      </c>
      <c r="F99" s="14" t="n">
        <v>15950</v>
      </c>
      <c r="G99" s="14" t="n">
        <v>15950</v>
      </c>
      <c r="H99" s="14" t="n">
        <v>15950</v>
      </c>
      <c r="I99" s="10">
        <f>SUM(C99:H99)</f>
        <v/>
      </c>
    </row>
    <row r="100" ht="12" customHeight="1">
      <c r="A100" s="11" t="n"/>
      <c r="B100" s="11" t="n"/>
      <c r="C100" s="12" t="n"/>
      <c r="D100" s="12" t="n"/>
      <c r="E100" s="12" t="n"/>
      <c r="F100" s="12" t="n"/>
      <c r="G100" s="12" t="n"/>
      <c r="H100" s="12" t="n"/>
      <c r="I100" s="13" t="n"/>
    </row>
    <row r="101" ht="14" customHeight="1">
      <c r="A101" s="4" t="n"/>
      <c r="B101" s="5" t="inlineStr">
        <is>
          <t>▶ ＠手形小切手</t>
        </is>
      </c>
      <c r="C101" s="6">
        <f>SUM(C102:C121)</f>
        <v/>
      </c>
      <c r="D101" s="6">
        <f>SUM(D102:D121)</f>
        <v/>
      </c>
      <c r="E101" s="6">
        <f>SUM(E102:E121)</f>
        <v/>
      </c>
      <c r="F101" s="6">
        <f>SUM(F102:F121)</f>
        <v/>
      </c>
      <c r="G101" s="6">
        <f>SUM(G102:G121)</f>
        <v/>
      </c>
      <c r="H101" s="6">
        <f>SUM(H102:H121)</f>
        <v/>
      </c>
      <c r="I101" s="7">
        <f>SUM(I102:I121)</f>
        <v/>
      </c>
    </row>
    <row r="102" ht="13" customHeight="1">
      <c r="A102" s="8" t="inlineStr">
        <is>
          <t>末</t>
        </is>
      </c>
      <c r="B102" s="8" t="inlineStr">
        <is>
          <t xml:space="preserve">  書類代　ラック　中古</t>
        </is>
      </c>
      <c r="C102" s="9" t="n">
        <v>213620</v>
      </c>
      <c r="D102" s="9" t="n">
        <v>289190</v>
      </c>
      <c r="E102" s="9" t="n">
        <v>143000</v>
      </c>
      <c r="F102" s="9" t="n">
        <v>388190</v>
      </c>
      <c r="G102" s="9" t="n">
        <v>420970</v>
      </c>
      <c r="H102" s="9" t="n">
        <v>79200</v>
      </c>
      <c r="I102" s="10">
        <f>SUM(C102:H102)</f>
        <v/>
      </c>
    </row>
    <row r="103" ht="13" customHeight="1">
      <c r="A103" s="8" t="inlineStr">
        <is>
          <t>20</t>
        </is>
      </c>
      <c r="B103" s="8" t="inlineStr">
        <is>
          <t xml:space="preserve">  機械代　小切手(初回分）　フジコム</t>
        </is>
      </c>
      <c r="C103" s="9" t="n"/>
      <c r="D103" s="9" t="n"/>
      <c r="E103" s="9" t="n"/>
      <c r="F103" s="9" t="n"/>
      <c r="G103" s="9" t="n"/>
      <c r="H103" s="9" t="n"/>
      <c r="I103" s="10">
        <f>SUM(C103:H103)</f>
        <v/>
      </c>
    </row>
    <row r="104" ht="13" customHeight="1">
      <c r="A104" s="8" t="inlineStr">
        <is>
          <t>末</t>
        </is>
      </c>
      <c r="B104" s="8" t="inlineStr">
        <is>
          <t xml:space="preserve">  機械代　小切手(初回分）</t>
        </is>
      </c>
      <c r="C104" s="9" t="n">
        <v>96140</v>
      </c>
      <c r="D104" s="9" t="n">
        <v>68090</v>
      </c>
      <c r="E104" s="9" t="n"/>
      <c r="F104" s="9" t="n">
        <v>14850</v>
      </c>
      <c r="G104" s="9" t="n">
        <v>166800</v>
      </c>
      <c r="H104" s="9" t="n"/>
      <c r="I104" s="10">
        <f>SUM(C104:H104)</f>
        <v/>
      </c>
    </row>
    <row r="105" ht="13" customHeight="1">
      <c r="A105" s="8" t="inlineStr">
        <is>
          <t>末</t>
        </is>
      </c>
      <c r="B105" s="8" t="inlineStr">
        <is>
          <t xml:space="preserve">  機械代　ＹＳＫ　中古</t>
        </is>
      </c>
      <c r="C105" s="9" t="n">
        <v>161700</v>
      </c>
      <c r="D105" s="9" t="n">
        <v>95500</v>
      </c>
      <c r="E105" s="9" t="n"/>
      <c r="F105" s="9" t="n">
        <v>145050</v>
      </c>
      <c r="G105" s="9" t="n">
        <v>482500</v>
      </c>
      <c r="H105" s="9" t="n">
        <v>333300</v>
      </c>
      <c r="I105" s="10">
        <f>SUM(C105:H105)</f>
        <v/>
      </c>
    </row>
    <row r="106" ht="13" customHeight="1">
      <c r="A106" s="8" t="inlineStr">
        <is>
          <t>31</t>
        </is>
      </c>
      <c r="B106" s="8" t="inlineStr">
        <is>
          <t xml:space="preserve">  ＹＳＫ 　R6.4月分（14回〜16回）</t>
        </is>
      </c>
      <c r="C106" s="14" t="n">
        <v>189900</v>
      </c>
      <c r="D106" s="14" t="n">
        <v>189900</v>
      </c>
      <c r="E106" s="14" t="n">
        <v>189900</v>
      </c>
      <c r="F106" s="14" t="n">
        <v>189900</v>
      </c>
      <c r="G106" s="14" t="n"/>
      <c r="H106" s="14" t="n"/>
      <c r="I106" s="10">
        <f>SUM(C106:H106)</f>
        <v/>
      </c>
    </row>
    <row r="107" ht="13" customHeight="1">
      <c r="A107" s="8" t="inlineStr"/>
      <c r="B107" s="8" t="inlineStr">
        <is>
          <t xml:space="preserve">  ＹＳＫ 　R6.11月分（7回）</t>
        </is>
      </c>
      <c r="C107" s="9" t="n">
        <v>154825</v>
      </c>
      <c r="D107" s="9" t="n"/>
      <c r="E107" s="9" t="n"/>
      <c r="F107" s="9" t="n"/>
      <c r="G107" s="9" t="n"/>
      <c r="H107" s="9" t="n"/>
      <c r="I107" s="10">
        <f>SUM(C107:H107)</f>
        <v/>
      </c>
    </row>
    <row r="108" ht="13" customHeight="1">
      <c r="A108" s="8" t="inlineStr"/>
      <c r="B108" s="8" t="inlineStr">
        <is>
          <t xml:space="preserve">  ＹＳＫ 　R6.12月分（6回〜9回）</t>
        </is>
      </c>
      <c r="C108" s="14" t="n">
        <v>223300</v>
      </c>
      <c r="D108" s="14" t="n">
        <v>223300</v>
      </c>
      <c r="E108" s="14" t="n">
        <v>223300</v>
      </c>
      <c r="F108" s="14" t="n">
        <v>223300</v>
      </c>
      <c r="G108" s="14" t="n"/>
      <c r="H108" s="14" t="n"/>
      <c r="I108" s="10">
        <f>SUM(C108:H108)</f>
        <v/>
      </c>
    </row>
    <row r="109" ht="13" customHeight="1">
      <c r="A109" s="8" t="inlineStr"/>
      <c r="B109" s="8" t="inlineStr">
        <is>
          <t xml:space="preserve">  ＹＳＫ 　R7.1月分（5回〜8回）</t>
        </is>
      </c>
      <c r="C109" s="14" t="n">
        <v>303050</v>
      </c>
      <c r="D109" s="14" t="n">
        <v>303050</v>
      </c>
      <c r="E109" s="14" t="n">
        <v>303050</v>
      </c>
      <c r="F109" s="14" t="n">
        <v>303050</v>
      </c>
      <c r="G109" s="14" t="n"/>
      <c r="H109" s="14" t="n"/>
      <c r="I109" s="10">
        <f>SUM(C109:H109)</f>
        <v/>
      </c>
    </row>
    <row r="110" ht="13" customHeight="1">
      <c r="A110" s="8" t="inlineStr"/>
      <c r="B110" s="8" t="inlineStr">
        <is>
          <t xml:space="preserve">  ＹＳＫ 　R7.3月分（3回〜7回）</t>
        </is>
      </c>
      <c r="C110" s="14" t="n">
        <v>154550</v>
      </c>
      <c r="D110" s="14" t="n">
        <v>154550</v>
      </c>
      <c r="E110" s="14" t="n">
        <v>154550</v>
      </c>
      <c r="F110" s="14" t="n">
        <v>154550</v>
      </c>
      <c r="G110" s="14" t="n"/>
      <c r="H110" s="14" t="n"/>
      <c r="I110" s="10">
        <f>SUM(C110:H110)</f>
        <v/>
      </c>
    </row>
    <row r="111" ht="13" customHeight="1">
      <c r="A111" s="8" t="inlineStr"/>
      <c r="B111" s="8" t="inlineStr">
        <is>
          <t xml:space="preserve">  ＹＳＫ 　R7.4月分（2回〜5回）</t>
        </is>
      </c>
      <c r="C111" s="14" t="n">
        <v>296450</v>
      </c>
      <c r="D111" s="14" t="n">
        <v>296450</v>
      </c>
      <c r="E111" s="14" t="n">
        <v>296450</v>
      </c>
      <c r="F111" s="14" t="n">
        <v>296450</v>
      </c>
      <c r="G111" s="14" t="n"/>
      <c r="H111" s="14" t="n"/>
      <c r="I111" s="10">
        <f>SUM(C111:H111)</f>
        <v/>
      </c>
    </row>
    <row r="112" ht="13" customHeight="1">
      <c r="A112" s="8" t="inlineStr"/>
      <c r="B112" s="8" t="inlineStr">
        <is>
          <t xml:space="preserve">  ＹＳＫ 　R7.5月分（1回〜4回）</t>
        </is>
      </c>
      <c r="C112" s="14" t="n">
        <v>175000</v>
      </c>
      <c r="D112" s="14" t="n">
        <v>175000</v>
      </c>
      <c r="E112" s="14" t="n">
        <v>175000</v>
      </c>
      <c r="F112" s="14" t="n">
        <v>175000</v>
      </c>
      <c r="G112" s="14" t="n"/>
      <c r="H112" s="14" t="n"/>
      <c r="I112" s="10">
        <f>SUM(C112:H112)</f>
        <v/>
      </c>
    </row>
    <row r="113" ht="13" customHeight="1">
      <c r="A113" s="8" t="inlineStr"/>
      <c r="B113" s="8" t="inlineStr">
        <is>
          <t xml:space="preserve">  ＹＳＫ 　R7.6月分（1回〜3回）</t>
        </is>
      </c>
      <c r="C113" s="14" t="n"/>
      <c r="D113" s="14" t="n">
        <v>161700</v>
      </c>
      <c r="E113" s="14" t="n">
        <v>161700</v>
      </c>
      <c r="F113" s="14" t="n">
        <v>161700</v>
      </c>
      <c r="G113" s="14" t="n"/>
      <c r="H113" s="14" t="n"/>
      <c r="I113" s="10">
        <f>SUM(C113:H113)</f>
        <v/>
      </c>
    </row>
    <row r="114" ht="13" customHeight="1">
      <c r="A114" s="8" t="inlineStr"/>
      <c r="B114" s="8" t="inlineStr">
        <is>
          <t xml:space="preserve">  ＹＳＫ 　R7.7月分（1回〜2回）</t>
        </is>
      </c>
      <c r="C114" s="14" t="n"/>
      <c r="D114" s="14" t="n"/>
      <c r="E114" s="14" t="n">
        <v>94000</v>
      </c>
      <c r="F114" s="14" t="n">
        <v>94000</v>
      </c>
      <c r="G114" s="14" t="n"/>
      <c r="H114" s="14" t="n"/>
      <c r="I114" s="10">
        <f>SUM(C114:H114)</f>
        <v/>
      </c>
    </row>
    <row r="115" ht="13" customHeight="1">
      <c r="A115" s="8" t="inlineStr"/>
      <c r="B115" s="8" t="inlineStr">
        <is>
          <t xml:space="preserve">  ＹＳＫ 　R7.9月分（1回）</t>
        </is>
      </c>
      <c r="C115" s="14" t="n"/>
      <c r="D115" s="14" t="n"/>
      <c r="E115" s="14" t="n"/>
      <c r="F115" s="14" t="n"/>
      <c r="G115" s="14" t="n">
        <v>144750</v>
      </c>
      <c r="H115" s="14" t="n">
        <v>144750</v>
      </c>
      <c r="I115" s="10">
        <f>SUM(C115:H115)</f>
        <v/>
      </c>
    </row>
    <row r="116" ht="13" customHeight="1">
      <c r="A116" s="8" t="inlineStr">
        <is>
          <t>31</t>
        </is>
      </c>
      <c r="B116" s="8" t="inlineStr">
        <is>
          <t xml:space="preserve">  ＹＳＫ 　まとめ分（1回）</t>
        </is>
      </c>
      <c r="C116" s="9" t="n"/>
      <c r="D116" s="9" t="n"/>
      <c r="E116" s="9" t="n"/>
      <c r="F116" s="9" t="n"/>
      <c r="G116" s="9" t="n"/>
      <c r="H116" s="9" t="n">
        <v>481500</v>
      </c>
      <c r="I116" s="10">
        <f>SUM(C116:H116)</f>
        <v/>
      </c>
    </row>
    <row r="117" ht="13" customHeight="1">
      <c r="A117" s="8" t="inlineStr">
        <is>
          <t>末</t>
        </is>
      </c>
      <c r="B117" s="8" t="inlineStr">
        <is>
          <t xml:space="preserve">  設備　その他　小切手</t>
        </is>
      </c>
      <c r="C117" s="9" t="n"/>
      <c r="D117" s="9" t="n">
        <v>7700</v>
      </c>
      <c r="E117" s="9" t="n"/>
      <c r="F117" s="9" t="n">
        <v>911900</v>
      </c>
      <c r="G117" s="9" t="n">
        <v>11000</v>
      </c>
      <c r="H117" s="9" t="n">
        <v>8580</v>
      </c>
      <c r="I117" s="10">
        <f>SUM(C117:H117)</f>
        <v/>
      </c>
    </row>
    <row r="118" ht="13" customHeight="1">
      <c r="A118" s="8" t="inlineStr">
        <is>
          <t>20</t>
        </is>
      </c>
      <c r="B118" s="8" t="inlineStr">
        <is>
          <t xml:space="preserve">  設備　小切手　(初回分）フジコム</t>
        </is>
      </c>
      <c r="C118" s="9" t="n"/>
      <c r="D118" s="9" t="n"/>
      <c r="E118" s="9" t="n"/>
      <c r="F118" s="9" t="n">
        <v>95645</v>
      </c>
      <c r="G118" s="9" t="n"/>
      <c r="H118" s="9" t="n"/>
      <c r="I118" s="10">
        <f>SUM(C118:H118)</f>
        <v/>
      </c>
    </row>
    <row r="119" ht="13" customHeight="1">
      <c r="A119" s="8" t="inlineStr"/>
      <c r="B119" s="8" t="inlineStr">
        <is>
          <t xml:space="preserve">  キタック　R7.4月分</t>
        </is>
      </c>
      <c r="C119" s="9" t="n">
        <v>200000</v>
      </c>
      <c r="D119" s="9" t="n"/>
      <c r="E119" s="9" t="n"/>
      <c r="F119" s="9" t="n"/>
      <c r="G119" s="9" t="n"/>
      <c r="H119" s="9" t="n"/>
      <c r="I119" s="10">
        <f>SUM(C119:H119)</f>
        <v/>
      </c>
    </row>
    <row r="120" ht="13" customHeight="1">
      <c r="A120" s="8" t="inlineStr"/>
      <c r="B120" s="8" t="inlineStr">
        <is>
          <t xml:space="preserve">  ユニバーサル（1回）</t>
        </is>
      </c>
      <c r="C120" s="9" t="n"/>
      <c r="D120" s="9" t="n"/>
      <c r="E120" s="9" t="n"/>
      <c r="F120" s="9" t="n"/>
      <c r="G120" s="9" t="n"/>
      <c r="H120" s="9" t="n">
        <v>190500</v>
      </c>
      <c r="I120" s="10">
        <f>SUM(C120:H120)</f>
        <v/>
      </c>
    </row>
    <row r="121" ht="1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3" t="n"/>
    </row>
    <row r="122" ht="14" customHeight="1">
      <c r="A122" s="4" t="n"/>
      <c r="B122" s="5" t="inlineStr">
        <is>
          <t>▶ ＠レンタル</t>
        </is>
      </c>
      <c r="C122" s="6">
        <f>SUM(C123:C125)</f>
        <v/>
      </c>
      <c r="D122" s="6">
        <f>SUM(D123:D125)</f>
        <v/>
      </c>
      <c r="E122" s="6">
        <f>SUM(E123:E125)</f>
        <v/>
      </c>
      <c r="F122" s="6">
        <f>SUM(F123:F125)</f>
        <v/>
      </c>
      <c r="G122" s="6">
        <f>SUM(G123:G125)</f>
        <v/>
      </c>
      <c r="H122" s="6">
        <f>SUM(H123:H125)</f>
        <v/>
      </c>
      <c r="I122" s="7">
        <f>SUM(I123:I125)</f>
        <v/>
      </c>
    </row>
    <row r="123" ht="13" customHeight="1">
      <c r="A123" s="8" t="inlineStr"/>
      <c r="B123" s="8" t="inlineStr">
        <is>
          <t xml:space="preserve">  山佐</t>
        </is>
      </c>
      <c r="C123" s="9" t="n"/>
      <c r="D123" s="9" t="n">
        <v>55000</v>
      </c>
      <c r="E123" s="9" t="n">
        <v>110000</v>
      </c>
      <c r="F123" s="9" t="n"/>
      <c r="G123" s="9" t="n"/>
      <c r="H123" s="9" t="n"/>
      <c r="I123" s="10">
        <f>SUM(C123:H123)</f>
        <v/>
      </c>
    </row>
    <row r="124" ht="13" customHeight="1">
      <c r="A124" s="8" t="inlineStr"/>
      <c r="B124" s="8" t="inlineStr">
        <is>
          <t xml:space="preserve">  山佐　　　③</t>
        </is>
      </c>
      <c r="C124" s="9" t="n">
        <v>55000</v>
      </c>
      <c r="D124" s="9" t="n"/>
      <c r="E124" s="9" t="n"/>
      <c r="F124" s="9" t="n"/>
      <c r="G124" s="9" t="n"/>
      <c r="H124" s="9" t="n"/>
      <c r="I124" s="10">
        <f>SUM(C124:H124)</f>
        <v/>
      </c>
    </row>
    <row r="125" ht="1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3" t="n"/>
    </row>
    <row r="126" ht="14" customHeight="1">
      <c r="A126" s="4" t="n"/>
      <c r="B126" s="5" t="inlineStr">
        <is>
          <t>▶ 地代家賃</t>
        </is>
      </c>
      <c r="C126" s="6">
        <f>SUM(C127:C129)</f>
        <v/>
      </c>
      <c r="D126" s="6">
        <f>SUM(D127:D129)</f>
        <v/>
      </c>
      <c r="E126" s="6">
        <f>SUM(E127:E129)</f>
        <v/>
      </c>
      <c r="F126" s="6">
        <f>SUM(F127:F129)</f>
        <v/>
      </c>
      <c r="G126" s="6">
        <f>SUM(G127:G129)</f>
        <v/>
      </c>
      <c r="H126" s="6">
        <f>SUM(H127:H129)</f>
        <v/>
      </c>
      <c r="I126" s="7">
        <f>SUM(I127:I129)</f>
        <v/>
      </c>
    </row>
    <row r="127" ht="13" customHeight="1">
      <c r="A127" s="8" t="inlineStr"/>
      <c r="B127" s="8" t="inlineStr">
        <is>
          <t xml:space="preserve">  地代家賃</t>
        </is>
      </c>
      <c r="C127" s="14" t="n">
        <v>5134606</v>
      </c>
      <c r="D127" s="14" t="n">
        <v>5134606</v>
      </c>
      <c r="E127" s="14" t="n">
        <v>5134606</v>
      </c>
      <c r="F127" s="14" t="n">
        <v>5134606</v>
      </c>
      <c r="G127" s="14" t="n">
        <v>5134606</v>
      </c>
      <c r="H127" s="14" t="n">
        <v>5134606</v>
      </c>
      <c r="I127" s="10">
        <f>SUM(C127:H127)</f>
        <v/>
      </c>
    </row>
    <row r="128" ht="13" customHeight="1">
      <c r="A128" s="8" t="inlineStr"/>
      <c r="B128" s="8" t="inlineStr">
        <is>
          <t xml:space="preserve">  未払い家賃</t>
        </is>
      </c>
      <c r="C128" s="9" t="n"/>
      <c r="D128" s="9" t="n"/>
      <c r="E128" s="9" t="n"/>
      <c r="F128" s="9" t="n"/>
      <c r="G128" s="9" t="n"/>
      <c r="H128" s="9" t="n"/>
      <c r="I128" s="10">
        <f>SUM(C128:H128)</f>
        <v/>
      </c>
    </row>
    <row r="129" ht="1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3" t="n"/>
    </row>
    <row r="130" ht="15" customHeight="1">
      <c r="A130" s="15" t="n"/>
      <c r="B130" s="16" t="inlineStr">
        <is>
          <t>① 支出合計</t>
        </is>
      </c>
      <c r="C130" s="17">
        <f>C4+C9+C16+C23+C49+C53+C57+C64+C69+C81+C90+C93+C101+C122+C126</f>
        <v/>
      </c>
      <c r="D130" s="17">
        <f>D4+D9+D16+D23+D49+D53+D57+D64+D69+D81+D90+D93+D101+D122+D126</f>
        <v/>
      </c>
      <c r="E130" s="17">
        <f>E4+E9+E16+E23+E49+E53+E57+E64+E69+E81+E90+E93+E101+E122+E126</f>
        <v/>
      </c>
      <c r="F130" s="17">
        <f>F4+F9+F16+F23+F49+F53+F57+F64+F69+F81+F90+F93+F101+F122+F126</f>
        <v/>
      </c>
      <c r="G130" s="17">
        <f>G4+G9+G16+G23+G49+G53+G57+G64+G69+G81+G90+G93+G101+G122+G126</f>
        <v/>
      </c>
      <c r="H130" s="17">
        <f>H4+H9+H16+H23+H49+H53+H57+H64+H69+H81+H90+H93+H101+H122+H126</f>
        <v/>
      </c>
      <c r="I130" s="7">
        <f>I4+I9+I16+I23+I49+I53+I57+I64+I69+I81+I90+I93+I101+I122+I126</f>
        <v/>
      </c>
    </row>
    <row r="132" ht="16" customHeight="1">
      <c r="A132" s="18" t="inlineStr">
        <is>
          <t>【 ② 収　入（売上・粗利・雑収入など） 】</t>
        </is>
      </c>
    </row>
    <row r="133" ht="14" customHeight="1">
      <c r="A133" s="19" t="n"/>
      <c r="B133" s="20" t="inlineStr">
        <is>
          <t>▶ 【収支サマリー】</t>
        </is>
      </c>
      <c r="C133" s="21">
        <f>SUM(C134:C139)</f>
        <v/>
      </c>
      <c r="D133" s="21">
        <f>SUM(D134:D139)</f>
        <v/>
      </c>
      <c r="E133" s="21">
        <f>SUM(E134:E139)</f>
        <v/>
      </c>
      <c r="F133" s="21">
        <f>SUM(F134:F139)</f>
        <v/>
      </c>
      <c r="G133" s="21">
        <f>SUM(G134:G139)</f>
        <v/>
      </c>
      <c r="H133" s="21">
        <f>SUM(H134:H139)</f>
        <v/>
      </c>
      <c r="I133" s="7">
        <f>SUM(I134:I139)</f>
        <v/>
      </c>
    </row>
    <row r="134" ht="13" customHeight="1">
      <c r="A134" s="22" t="inlineStr"/>
      <c r="B134" s="22" t="inlineStr">
        <is>
          <t xml:space="preserve">  粗利益（Ｃ）</t>
        </is>
      </c>
      <c r="C134" s="23" t="n">
        <v>19463200</v>
      </c>
      <c r="D134" s="23" t="n">
        <v>22815100</v>
      </c>
      <c r="E134" s="23" t="n">
        <v>18961300</v>
      </c>
      <c r="F134" s="23" t="n">
        <v>19166400</v>
      </c>
      <c r="G134" s="23" t="n">
        <v>19281600</v>
      </c>
      <c r="H134" s="23" t="n">
        <v>22307600</v>
      </c>
      <c r="I134" s="10">
        <f>SUM(C134:H134)</f>
        <v/>
      </c>
    </row>
    <row r="135" ht="13" customHeight="1">
      <c r="A135" s="22" t="inlineStr"/>
      <c r="B135" s="22" t="inlineStr">
        <is>
          <t xml:space="preserve">  雑収入（岐阜福祉）</t>
        </is>
      </c>
      <c r="C135" s="24" t="n">
        <v>22000</v>
      </c>
      <c r="D135" s="24" t="n">
        <v>22000</v>
      </c>
      <c r="E135" s="24" t="n">
        <v>22000</v>
      </c>
      <c r="F135" s="24" t="n">
        <v>22000</v>
      </c>
      <c r="G135" s="24" t="n">
        <v>22000</v>
      </c>
      <c r="H135" s="24" t="n">
        <v>22000</v>
      </c>
      <c r="I135" s="10">
        <f>SUM(C135:H135)</f>
        <v/>
      </c>
    </row>
    <row r="136" ht="13" customHeight="1">
      <c r="A136" s="22" t="inlineStr"/>
      <c r="B136" s="22" t="inlineStr">
        <is>
          <t xml:space="preserve">  雑収入（ウェルピア出向費）</t>
        </is>
      </c>
      <c r="C136" s="24" t="n">
        <v>110000</v>
      </c>
      <c r="D136" s="24" t="n">
        <v>110000</v>
      </c>
      <c r="E136" s="24" t="n">
        <v>110000</v>
      </c>
      <c r="F136" s="24" t="n">
        <v>110000</v>
      </c>
      <c r="G136" s="24" t="n">
        <v>110000</v>
      </c>
      <c r="H136" s="24" t="n">
        <v>110000</v>
      </c>
      <c r="I136" s="10">
        <f>SUM(C136:H136)</f>
        <v/>
      </c>
    </row>
    <row r="137" ht="13" customHeight="1">
      <c r="A137" s="22" t="inlineStr"/>
      <c r="B137" s="22" t="inlineStr">
        <is>
          <t xml:space="preserve">  雑収入（台　売却）</t>
        </is>
      </c>
      <c r="C137" s="23" t="n">
        <v>682000</v>
      </c>
      <c r="D137" s="23" t="n"/>
      <c r="E137" s="23" t="n"/>
      <c r="F137" s="23" t="n">
        <v>506000</v>
      </c>
      <c r="G137" s="23" t="n"/>
      <c r="H137" s="23" t="n">
        <v>1265000</v>
      </c>
      <c r="I137" s="10">
        <f>SUM(C137:H137)</f>
        <v/>
      </c>
    </row>
    <row r="138" ht="13" customHeight="1">
      <c r="A138" s="22" t="inlineStr"/>
      <c r="B138" s="22" t="inlineStr">
        <is>
          <t xml:space="preserve">  雑収入（その他）</t>
        </is>
      </c>
      <c r="C138" s="23" t="n">
        <v>372000</v>
      </c>
      <c r="D138" s="23" t="n"/>
      <c r="E138" s="23" t="n"/>
      <c r="F138" s="23" t="n"/>
      <c r="G138" s="23" t="n"/>
      <c r="H138" s="23" t="n"/>
      <c r="I138" s="10">
        <f>SUM(C138:H138)</f>
        <v/>
      </c>
    </row>
    <row r="139" ht="12" customHeight="1">
      <c r="A139" s="25" t="n"/>
      <c r="B139" s="25" t="n"/>
      <c r="C139" s="26" t="n"/>
      <c r="D139" s="26" t="n"/>
      <c r="E139" s="26" t="n"/>
      <c r="F139" s="26" t="n"/>
      <c r="G139" s="26" t="n"/>
      <c r="H139" s="26" t="n"/>
      <c r="I139" s="13" t="n"/>
    </row>
    <row r="140" ht="15" customHeight="1">
      <c r="A140" s="27" t="n"/>
      <c r="B140" s="28" t="inlineStr">
        <is>
          <t>② 収入合計</t>
        </is>
      </c>
      <c r="C140" s="29">
        <f>C133</f>
        <v/>
      </c>
      <c r="D140" s="29">
        <f>D133</f>
        <v/>
      </c>
      <c r="E140" s="29">
        <f>E133</f>
        <v/>
      </c>
      <c r="F140" s="29">
        <f>F133</f>
        <v/>
      </c>
      <c r="G140" s="29">
        <f>G133</f>
        <v/>
      </c>
      <c r="H140" s="29">
        <f>H133</f>
        <v/>
      </c>
      <c r="I140" s="7">
        <f>I133</f>
        <v/>
      </c>
    </row>
    <row r="142" ht="22" customHeight="1">
      <c r="A142" s="30" t="n"/>
      <c r="B142" s="31" t="inlineStr">
        <is>
          <t>① 経　費</t>
        </is>
      </c>
      <c r="C142" s="32">
        <f>C130</f>
        <v/>
      </c>
      <c r="D142" s="32">
        <f>D130</f>
        <v/>
      </c>
      <c r="E142" s="32">
        <f>E130</f>
        <v/>
      </c>
      <c r="F142" s="32">
        <f>F130</f>
        <v/>
      </c>
      <c r="G142" s="32">
        <f>G130</f>
        <v/>
      </c>
      <c r="H142" s="32">
        <f>H130</f>
        <v/>
      </c>
      <c r="I142" s="32">
        <f>I130</f>
        <v/>
      </c>
    </row>
    <row r="143" ht="22" customHeight="1">
      <c r="A143" s="33" t="n"/>
      <c r="B143" s="34" t="inlineStr">
        <is>
          <t>② 収　入</t>
        </is>
      </c>
      <c r="C143" s="35">
        <f>C140</f>
        <v/>
      </c>
      <c r="D143" s="35">
        <f>D140</f>
        <v/>
      </c>
      <c r="E143" s="35">
        <f>E140</f>
        <v/>
      </c>
      <c r="F143" s="35">
        <f>F140</f>
        <v/>
      </c>
      <c r="G143" s="35">
        <f>G140</f>
        <v/>
      </c>
      <c r="H143" s="35">
        <f>H140</f>
        <v/>
      </c>
      <c r="I143" s="35">
        <f>I140</f>
        <v/>
      </c>
    </row>
    <row r="144" ht="22" customHeight="1">
      <c r="A144" s="36" t="n"/>
      <c r="B144" s="37" t="inlineStr">
        <is>
          <t>③ 収　支  ②－①</t>
        </is>
      </c>
      <c r="C144" s="38">
        <f>C140-C130</f>
        <v/>
      </c>
      <c r="D144" s="38">
        <f>D140-D130</f>
        <v/>
      </c>
      <c r="E144" s="38">
        <f>E140-E130</f>
        <v/>
      </c>
      <c r="F144" s="38">
        <f>F140-F130</f>
        <v/>
      </c>
      <c r="G144" s="38">
        <f>G140-G130</f>
        <v/>
      </c>
      <c r="H144" s="38">
        <f>H140-H130</f>
        <v/>
      </c>
      <c r="I144" s="38">
        <f>I140-I130</f>
        <v/>
      </c>
    </row>
  </sheetData>
  <mergeCells count="3">
    <mergeCell ref="A1:I1"/>
    <mergeCell ref="A132:I13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K129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① AMUSE JAPAN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R8.6月</t>
        </is>
      </c>
      <c r="I2" s="2" t="inlineStr">
        <is>
          <t>下期累計</t>
        </is>
      </c>
      <c r="J2" s="2" t="inlineStr">
        <is>
          <t>上期累計</t>
        </is>
      </c>
      <c r="K2" s="2" t="inlineStr">
        <is>
          <t>通期合計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タバコ</t>
        </is>
      </c>
      <c r="C4" s="6">
        <f>SUM(C5:C8)</f>
        <v/>
      </c>
      <c r="D4" s="6">
        <f>SUM(D5:D8)</f>
        <v/>
      </c>
      <c r="E4" s="6">
        <f>SUM(E5:E8)</f>
        <v/>
      </c>
      <c r="F4" s="6">
        <f>SUM(F5:F8)</f>
        <v/>
      </c>
      <c r="G4" s="6">
        <f>SUM(G5:G8)</f>
        <v/>
      </c>
      <c r="H4" s="6">
        <f>SUM(H5:H8)</f>
        <v/>
      </c>
      <c r="I4" s="7">
        <f>SUM(I5:I8)</f>
        <v/>
      </c>
      <c r="J4" s="39">
        <f>SUM(J5:J8)</f>
        <v/>
      </c>
      <c r="K4" s="40">
        <f>SUM(K5:K8)</f>
        <v/>
      </c>
    </row>
    <row r="5" ht="13" customHeight="1">
      <c r="A5" s="8" t="inlineStr">
        <is>
          <t>10</t>
        </is>
      </c>
      <c r="B5" s="8" t="inlineStr">
        <is>
          <t xml:space="preserve">  高田繊維</t>
        </is>
      </c>
      <c r="C5" s="9" t="n">
        <v>351560</v>
      </c>
      <c r="D5" s="9" t="n">
        <v>147956</v>
      </c>
      <c r="E5" s="9" t="n">
        <v>109604</v>
      </c>
      <c r="F5" s="9" t="n">
        <v>432400</v>
      </c>
      <c r="G5" s="9" t="n"/>
      <c r="H5" s="9" t="n"/>
      <c r="I5" s="10">
        <f>SUM(C5:H5)</f>
        <v/>
      </c>
      <c r="J5" s="41">
        <f>'AMUSE JAPAN_上期_7-12月'!I5</f>
        <v/>
      </c>
      <c r="K5" s="42">
        <f>I5+J5</f>
        <v/>
      </c>
    </row>
    <row r="6" ht="13" customHeight="1">
      <c r="A6" s="8" t="inlineStr">
        <is>
          <t>20</t>
        </is>
      </c>
      <c r="B6" s="8" t="inlineStr">
        <is>
          <t xml:space="preserve">  高田繊維</t>
        </is>
      </c>
      <c r="C6" s="9" t="n">
        <v>27260</v>
      </c>
      <c r="D6" s="9" t="n">
        <v>98512</v>
      </c>
      <c r="E6" s="9" t="n">
        <v>54896</v>
      </c>
      <c r="F6" s="9" t="n">
        <v>142316</v>
      </c>
      <c r="G6" s="9" t="n"/>
      <c r="H6" s="9" t="n"/>
      <c r="I6" s="10">
        <f>SUM(C6:H6)</f>
        <v/>
      </c>
      <c r="J6" s="41">
        <f>'AMUSE JAPAN_上期_7-12月'!I6</f>
        <v/>
      </c>
      <c r="K6" s="42">
        <f>I6+J6</f>
        <v/>
      </c>
    </row>
    <row r="7" ht="13" customHeight="1">
      <c r="A7" s="8" t="inlineStr">
        <is>
          <t>30</t>
        </is>
      </c>
      <c r="B7" s="8" t="inlineStr">
        <is>
          <t xml:space="preserve">  高田繊維</t>
        </is>
      </c>
      <c r="C7" s="9" t="n">
        <v>77832</v>
      </c>
      <c r="D7" s="9" t="n">
        <v>203604</v>
      </c>
      <c r="E7" s="9" t="n">
        <v>187060</v>
      </c>
      <c r="F7" s="9" t="n"/>
      <c r="G7" s="9" t="n"/>
      <c r="H7" s="9" t="n"/>
      <c r="I7" s="10">
        <f>SUM(C7:H7)</f>
        <v/>
      </c>
      <c r="J7" s="41">
        <f>'AMUSE JAPAN_上期_7-12月'!I7</f>
        <v/>
      </c>
      <c r="K7" s="42">
        <f>I7+J7</f>
        <v/>
      </c>
    </row>
    <row r="8" ht="12" customHeight="1">
      <c r="A8" s="11" t="n"/>
      <c r="B8" s="11" t="n"/>
      <c r="C8" s="12" t="n"/>
      <c r="D8" s="12" t="n"/>
      <c r="E8" s="12" t="n"/>
      <c r="F8" s="12" t="n"/>
      <c r="G8" s="12" t="n"/>
      <c r="H8" s="12" t="n"/>
      <c r="I8" s="13" t="n"/>
      <c r="J8" s="43" t="n"/>
      <c r="K8" s="44" t="n"/>
    </row>
    <row r="9" ht="14" customHeight="1">
      <c r="A9" s="4" t="n"/>
      <c r="B9" s="5" t="inlineStr">
        <is>
          <t>▶ 給与系</t>
        </is>
      </c>
      <c r="C9" s="6">
        <f>SUM(C10:C14)</f>
        <v/>
      </c>
      <c r="D9" s="6">
        <f>SUM(D10:D14)</f>
        <v/>
      </c>
      <c r="E9" s="6">
        <f>SUM(E10:E14)</f>
        <v/>
      </c>
      <c r="F9" s="6">
        <f>SUM(F10:F14)</f>
        <v/>
      </c>
      <c r="G9" s="6">
        <f>SUM(G10:G14)</f>
        <v/>
      </c>
      <c r="H9" s="6">
        <f>SUM(H10:H14)</f>
        <v/>
      </c>
      <c r="I9" s="7">
        <f>SUM(I10:I14)</f>
        <v/>
      </c>
      <c r="J9" s="39">
        <f>SUM(J10:J14)</f>
        <v/>
      </c>
      <c r="K9" s="40">
        <f>SUM(K10:K14)</f>
        <v/>
      </c>
    </row>
    <row r="10" ht="13" customHeight="1">
      <c r="A10" s="8" t="inlineStr">
        <is>
          <t>14</t>
        </is>
      </c>
      <c r="B10" s="8" t="inlineStr">
        <is>
          <t xml:space="preserve">  給料（総支給）</t>
        </is>
      </c>
      <c r="C10" s="9" t="n">
        <v>3585800</v>
      </c>
      <c r="D10" s="9" t="n">
        <v>3223676</v>
      </c>
      <c r="E10" s="9" t="n">
        <v>3214319</v>
      </c>
      <c r="F10" s="9" t="n">
        <v>3262174</v>
      </c>
      <c r="G10" s="9" t="n"/>
      <c r="H10" s="9" t="n"/>
      <c r="I10" s="10">
        <f>SUM(C10:H10)</f>
        <v/>
      </c>
      <c r="J10" s="41">
        <f>'AMUSE JAPAN_上期_7-12月'!I10</f>
        <v/>
      </c>
      <c r="K10" s="42">
        <f>I10+J10</f>
        <v/>
      </c>
    </row>
    <row r="11" ht="13" customHeight="1">
      <c r="A11" s="8" t="inlineStr">
        <is>
          <t>31</t>
        </is>
      </c>
      <c r="B11" s="8" t="inlineStr">
        <is>
          <t xml:space="preserve">  厚生年金　会社負担</t>
        </is>
      </c>
      <c r="C11" s="9" t="n">
        <v>333326</v>
      </c>
      <c r="D11" s="9" t="n">
        <v>333741</v>
      </c>
      <c r="E11" s="9" t="n">
        <v>332993</v>
      </c>
      <c r="F11" s="9" t="n">
        <v>332051</v>
      </c>
      <c r="G11" s="9" t="n"/>
      <c r="H11" s="9" t="n"/>
      <c r="I11" s="10">
        <f>SUM(C11:H11)</f>
        <v/>
      </c>
      <c r="J11" s="41">
        <f>'AMUSE JAPAN_上期_7-12月'!I11</f>
        <v/>
      </c>
      <c r="K11" s="42">
        <f>I11+J11</f>
        <v/>
      </c>
    </row>
    <row r="12" ht="13" customHeight="1">
      <c r="A12" s="8" t="inlineStr">
        <is>
          <t>6</t>
        </is>
      </c>
      <c r="B12" s="8" t="inlineStr">
        <is>
          <t xml:space="preserve">  労働保険（9月11月2月）</t>
        </is>
      </c>
      <c r="C12" s="9" t="n"/>
      <c r="D12" s="9" t="n">
        <v>221752</v>
      </c>
      <c r="E12" s="9" t="n"/>
      <c r="F12" s="9" t="n"/>
      <c r="G12" s="9" t="n"/>
      <c r="H12" s="9" t="n"/>
      <c r="I12" s="10">
        <f>SUM(C12:H12)</f>
        <v/>
      </c>
      <c r="J12" s="41">
        <f>'AMUSE JAPAN_上期_7-12月'!I12</f>
        <v/>
      </c>
      <c r="K12" s="42">
        <f>I12+J12</f>
        <v/>
      </c>
    </row>
    <row r="13" ht="13" customHeight="1">
      <c r="A13" s="8" t="inlineStr"/>
      <c r="B13" s="8" t="inlineStr">
        <is>
          <t xml:space="preserve">  後払い給与</t>
        </is>
      </c>
      <c r="C13" s="9" t="n"/>
      <c r="D13" s="9" t="n"/>
      <c r="E13" s="9" t="n"/>
      <c r="F13" s="9" t="n"/>
      <c r="G13" s="9" t="n"/>
      <c r="H13" s="9" t="n"/>
      <c r="I13" s="10">
        <f>SUM(C13:H13)</f>
        <v/>
      </c>
      <c r="J13" s="41">
        <f>'AMUSE JAPAN_上期_7-12月'!I14</f>
        <v/>
      </c>
      <c r="K13" s="42">
        <f>I13+J13</f>
        <v/>
      </c>
    </row>
    <row r="14" ht="12" customHeight="1">
      <c r="A14" s="11" t="n"/>
      <c r="B14" s="11" t="n"/>
      <c r="C14" s="12" t="n"/>
      <c r="D14" s="12" t="n"/>
      <c r="E14" s="12" t="n"/>
      <c r="F14" s="12" t="n"/>
      <c r="G14" s="12" t="n"/>
      <c r="H14" s="12" t="n"/>
      <c r="I14" s="13" t="n"/>
      <c r="J14" s="43" t="n"/>
      <c r="K14" s="44" t="n"/>
    </row>
    <row r="15" ht="14" customHeight="1">
      <c r="A15" s="4" t="n"/>
      <c r="B15" s="5" t="inlineStr">
        <is>
          <t>▶ 電気・ガス・水道</t>
        </is>
      </c>
      <c r="C15" s="6">
        <f>SUM(C16:C21)</f>
        <v/>
      </c>
      <c r="D15" s="6">
        <f>SUM(D16:D21)</f>
        <v/>
      </c>
      <c r="E15" s="6">
        <f>SUM(E16:E21)</f>
        <v/>
      </c>
      <c r="F15" s="6">
        <f>SUM(F16:F21)</f>
        <v/>
      </c>
      <c r="G15" s="6">
        <f>SUM(G16:G21)</f>
        <v/>
      </c>
      <c r="H15" s="6">
        <f>SUM(H16:H21)</f>
        <v/>
      </c>
      <c r="I15" s="7">
        <f>SUM(I16:I21)</f>
        <v/>
      </c>
      <c r="J15" s="39">
        <f>SUM(J16:J21)</f>
        <v/>
      </c>
      <c r="K15" s="40">
        <f>SUM(K16:K21)</f>
        <v/>
      </c>
    </row>
    <row r="16" ht="13" customHeight="1">
      <c r="A16" s="8" t="inlineStr"/>
      <c r="B16" s="8" t="inlineStr">
        <is>
          <t xml:space="preserve">  東邦液化ｶﾞｽ　食堂</t>
        </is>
      </c>
      <c r="C16" s="14" t="n">
        <v>1500</v>
      </c>
      <c r="D16" s="14" t="n">
        <v>1500</v>
      </c>
      <c r="E16" s="14" t="n">
        <v>1500</v>
      </c>
      <c r="F16" s="14" t="n">
        <v>1500</v>
      </c>
      <c r="G16" s="14" t="n">
        <v>1500</v>
      </c>
      <c r="H16" s="14" t="n"/>
      <c r="I16" s="10">
        <f>SUM(C16:H16)</f>
        <v/>
      </c>
      <c r="J16" s="41">
        <f>'AMUSE JAPAN_上期_7-12月'!I20</f>
        <v/>
      </c>
      <c r="K16" s="42">
        <f>I16+J16</f>
        <v/>
      </c>
    </row>
    <row r="17" ht="13" customHeight="1">
      <c r="A17" s="8" t="inlineStr"/>
      <c r="B17" s="8" t="inlineStr">
        <is>
          <t xml:space="preserve">  電気料金</t>
        </is>
      </c>
      <c r="C17" s="9" t="n">
        <v>1038683</v>
      </c>
      <c r="D17" s="9" t="n">
        <v>1036025</v>
      </c>
      <c r="E17" s="9" t="n">
        <v>847675</v>
      </c>
      <c r="F17" s="9" t="n">
        <v>862474</v>
      </c>
      <c r="G17" s="9" t="n"/>
      <c r="H17" s="9" t="n"/>
      <c r="I17" s="10">
        <f>SUM(C17:H17)</f>
        <v/>
      </c>
      <c r="J17" s="41">
        <f>'AMUSE JAPAN_上期_7-12月'!I17</f>
        <v/>
      </c>
      <c r="K17" s="42">
        <f>I17+J17</f>
        <v/>
      </c>
    </row>
    <row r="18" ht="13" customHeight="1">
      <c r="A18" s="8" t="inlineStr"/>
      <c r="B18" s="8" t="inlineStr">
        <is>
          <t xml:space="preserve">  駐車場　電気</t>
        </is>
      </c>
      <c r="C18" s="9" t="n">
        <v>8183</v>
      </c>
      <c r="D18" s="9" t="n">
        <v>5793</v>
      </c>
      <c r="E18" s="9" t="n">
        <v>5407</v>
      </c>
      <c r="F18" s="9" t="n"/>
      <c r="G18" s="9" t="n"/>
      <c r="H18" s="9" t="n"/>
      <c r="I18" s="10">
        <f>SUM(C18:H18)</f>
        <v/>
      </c>
      <c r="J18" s="41">
        <f>'AMUSE JAPAN_上期_7-12月'!I18</f>
        <v/>
      </c>
      <c r="K18" s="42">
        <f>I18+J18</f>
        <v/>
      </c>
    </row>
    <row r="19" ht="13" customHeight="1">
      <c r="A19" s="8" t="inlineStr"/>
      <c r="B19" s="8" t="inlineStr">
        <is>
          <t xml:space="preserve">  駐車場　電気</t>
        </is>
      </c>
      <c r="C19" s="9" t="n">
        <v>2306</v>
      </c>
      <c r="D19" s="9" t="n">
        <v>1779</v>
      </c>
      <c r="E19" s="9" t="n">
        <v>1801</v>
      </c>
      <c r="F19" s="9" t="n"/>
      <c r="G19" s="9" t="n"/>
      <c r="H19" s="9" t="n"/>
      <c r="I19" s="10">
        <f>SUM(C19:H19)</f>
        <v/>
      </c>
      <c r="J19" s="41">
        <f>'AMUSE JAPAN_上期_7-12月'!I19</f>
        <v/>
      </c>
      <c r="K19" s="42">
        <f>I19+J19</f>
        <v/>
      </c>
    </row>
    <row r="20" ht="13" customHeight="1">
      <c r="A20" s="8" t="inlineStr">
        <is>
          <t>31</t>
        </is>
      </c>
      <c r="B20" s="8" t="inlineStr">
        <is>
          <t xml:space="preserve">  水道料(羽島）偶数月</t>
        </is>
      </c>
      <c r="C20" s="9" t="n"/>
      <c r="D20" s="9" t="n"/>
      <c r="E20" s="9" t="n"/>
      <c r="F20" s="9" t="n"/>
      <c r="G20" s="9" t="n"/>
      <c r="H20" s="9" t="n"/>
      <c r="I20" s="10">
        <f>SUM(C20:H20)</f>
        <v/>
      </c>
      <c r="J20" s="41">
        <f>'AMUSE JAPAN_上期_7-12月'!I21</f>
        <v/>
      </c>
      <c r="K20" s="42">
        <f>I20+J20</f>
        <v/>
      </c>
    </row>
    <row r="21" ht="1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3" t="n"/>
      <c r="J21" s="43" t="n"/>
      <c r="K21" s="44" t="n"/>
    </row>
    <row r="22" ht="14" customHeight="1">
      <c r="A22" s="4" t="n"/>
      <c r="B22" s="5" t="inlineStr">
        <is>
          <t>▶ 雑費</t>
        </is>
      </c>
      <c r="C22" s="6">
        <f>SUM(C23:C44)</f>
        <v/>
      </c>
      <c r="D22" s="6">
        <f>SUM(D23:D44)</f>
        <v/>
      </c>
      <c r="E22" s="6">
        <f>SUM(E23:E44)</f>
        <v/>
      </c>
      <c r="F22" s="6">
        <f>SUM(F23:F44)</f>
        <v/>
      </c>
      <c r="G22" s="6">
        <f>SUM(G23:G44)</f>
        <v/>
      </c>
      <c r="H22" s="6">
        <f>SUM(H23:H44)</f>
        <v/>
      </c>
      <c r="I22" s="7">
        <f>SUM(I23:I44)</f>
        <v/>
      </c>
      <c r="J22" s="39">
        <f>SUM(J23:J44)</f>
        <v/>
      </c>
      <c r="K22" s="40">
        <f>SUM(K23:K44)</f>
        <v/>
      </c>
    </row>
    <row r="23" ht="13" customHeight="1">
      <c r="A23" s="8" t="inlineStr">
        <is>
          <t>17</t>
        </is>
      </c>
      <c r="B23" s="8" t="inlineStr">
        <is>
          <t xml:space="preserve">  日浦新聞店</t>
        </is>
      </c>
      <c r="C23" s="14" t="n">
        <v>7400</v>
      </c>
      <c r="D23" s="14" t="n">
        <v>7400</v>
      </c>
      <c r="E23" s="14" t="n">
        <v>7400</v>
      </c>
      <c r="F23" s="14" t="n">
        <v>7400</v>
      </c>
      <c r="G23" s="14" t="n">
        <v>7400</v>
      </c>
      <c r="H23" s="14" t="n"/>
      <c r="I23" s="10">
        <f>SUM(C23:H23)</f>
        <v/>
      </c>
      <c r="J23" s="41">
        <f>'AMUSE JAPAN_上期_7-12月'!I24</f>
        <v/>
      </c>
      <c r="K23" s="42">
        <f>I23+J23</f>
        <v/>
      </c>
    </row>
    <row r="24" ht="13" customHeight="1">
      <c r="A24" s="8" t="inlineStr">
        <is>
          <t>10</t>
        </is>
      </c>
      <c r="B24" s="8" t="inlineStr">
        <is>
          <t xml:space="preserve">  ネットバンキング</t>
        </is>
      </c>
      <c r="C24" s="14" t="n">
        <v>3340</v>
      </c>
      <c r="D24" s="14" t="n">
        <v>3340</v>
      </c>
      <c r="E24" s="14" t="n">
        <v>3340</v>
      </c>
      <c r="F24" s="14" t="n">
        <v>3340</v>
      </c>
      <c r="G24" s="14" t="n">
        <v>3340</v>
      </c>
      <c r="H24" s="14" t="n"/>
      <c r="I24" s="10">
        <f>SUM(C24:H24)</f>
        <v/>
      </c>
      <c r="J24" s="41">
        <f>'AMUSE JAPAN_上期_7-12月'!I25</f>
        <v/>
      </c>
      <c r="K24" s="42">
        <f>I24+J24</f>
        <v/>
      </c>
    </row>
    <row r="25" ht="13" customHeight="1">
      <c r="A25" s="8" t="inlineStr"/>
      <c r="B25" s="8" t="inlineStr">
        <is>
          <t xml:space="preserve">  山田組　廃棄物</t>
        </is>
      </c>
      <c r="C25" s="14" t="n">
        <v>19360</v>
      </c>
      <c r="D25" s="14" t="n">
        <v>19360</v>
      </c>
      <c r="E25" s="14" t="n">
        <v>19360</v>
      </c>
      <c r="F25" s="14" t="n">
        <v>19360</v>
      </c>
      <c r="G25" s="14" t="n">
        <v>19360</v>
      </c>
      <c r="H25" s="14" t="n"/>
      <c r="I25" s="10">
        <f>SUM(C25:H25)</f>
        <v/>
      </c>
      <c r="J25" s="41">
        <f>'AMUSE JAPAN_上期_7-12月'!I28</f>
        <v/>
      </c>
      <c r="K25" s="42">
        <f>I25+J25</f>
        <v/>
      </c>
    </row>
    <row r="26" ht="13" customHeight="1">
      <c r="A26" s="8" t="inlineStr">
        <is>
          <t>10</t>
        </is>
      </c>
      <c r="B26" s="8" t="inlineStr">
        <is>
          <t xml:space="preserve">  振込手数料</t>
        </is>
      </c>
      <c r="C26" s="9" t="n">
        <v>37345</v>
      </c>
      <c r="D26" s="9" t="n">
        <v>10780</v>
      </c>
      <c r="E26" s="9" t="n">
        <v>23100</v>
      </c>
      <c r="F26" s="9" t="n">
        <v>34760</v>
      </c>
      <c r="G26" s="9" t="n"/>
      <c r="H26" s="9" t="n"/>
      <c r="I26" s="10">
        <f>SUM(C26:H26)</f>
        <v/>
      </c>
      <c r="J26" s="41">
        <f>'AMUSE JAPAN_上期_7-12月'!I26</f>
        <v/>
      </c>
      <c r="K26" s="42">
        <f>I26+J26</f>
        <v/>
      </c>
    </row>
    <row r="27" ht="13" customHeight="1">
      <c r="A27" s="8" t="inlineStr"/>
      <c r="B27" s="8" t="inlineStr">
        <is>
          <t xml:space="preserve">  でんさい手数料</t>
        </is>
      </c>
      <c r="C27" s="9" t="n">
        <v>5280</v>
      </c>
      <c r="D27" s="9" t="n">
        <v>23760</v>
      </c>
      <c r="E27" s="9" t="n">
        <v>15840</v>
      </c>
      <c r="F27" s="9" t="n"/>
      <c r="G27" s="9" t="n"/>
      <c r="H27" s="9" t="n"/>
      <c r="I27" s="10">
        <f>SUM(C27:H27)</f>
        <v/>
      </c>
      <c r="J27" s="41">
        <f>'AMUSE JAPAN_上期_7-12月'!I33</f>
        <v/>
      </c>
      <c r="K27" s="42">
        <f>I27+J27</f>
        <v/>
      </c>
    </row>
    <row r="28" ht="13" customHeight="1">
      <c r="A28" s="8" t="inlineStr">
        <is>
          <t>20</t>
        </is>
      </c>
      <c r="B28" s="8" t="inlineStr">
        <is>
          <t xml:space="preserve">  大日へ立替分清算 前月分</t>
        </is>
      </c>
      <c r="C28" s="9" t="n">
        <v>12357</v>
      </c>
      <c r="D28" s="9" t="n">
        <v>97610</v>
      </c>
      <c r="E28" s="9" t="n">
        <v>8858</v>
      </c>
      <c r="F28" s="9" t="n"/>
      <c r="G28" s="9" t="n"/>
      <c r="H28" s="9" t="n"/>
      <c r="I28" s="10">
        <f>SUM(C28:H28)</f>
        <v/>
      </c>
      <c r="J28" s="41">
        <f>'AMUSE JAPAN_上期_7-12月'!I27</f>
        <v/>
      </c>
      <c r="K28" s="42">
        <f>I28+J28</f>
        <v/>
      </c>
    </row>
    <row r="29" ht="13" customHeight="1">
      <c r="A29" s="8" t="inlineStr">
        <is>
          <t>21</t>
        </is>
      </c>
      <c r="B29" s="8" t="inlineStr">
        <is>
          <t xml:space="preserve">  小口現金　本社</t>
        </is>
      </c>
      <c r="C29" s="9" t="n">
        <v>150000</v>
      </c>
      <c r="D29" s="9" t="n"/>
      <c r="E29" s="9" t="n">
        <v>100000</v>
      </c>
      <c r="F29" s="9" t="n"/>
      <c r="G29" s="9" t="n"/>
      <c r="H29" s="9" t="n"/>
      <c r="I29" s="10">
        <f>SUM(C29:H29)</f>
        <v/>
      </c>
      <c r="J29" s="41">
        <f>'AMUSE JAPAN_上期_7-12月'!I29</f>
        <v/>
      </c>
      <c r="K29" s="42">
        <f>I29+J29</f>
        <v/>
      </c>
    </row>
    <row r="30" ht="13" customHeight="1">
      <c r="A30" s="8" t="inlineStr">
        <is>
          <t>3</t>
        </is>
      </c>
      <c r="B30" s="8" t="inlineStr">
        <is>
          <t xml:space="preserve">  小口現金</t>
        </is>
      </c>
      <c r="C30" s="9" t="n"/>
      <c r="D30" s="9" t="n">
        <v>130000</v>
      </c>
      <c r="E30" s="9" t="n">
        <v>60000</v>
      </c>
      <c r="F30" s="9" t="n"/>
      <c r="G30" s="9" t="n"/>
      <c r="H30" s="9" t="n"/>
      <c r="I30" s="10">
        <f>SUM(C30:H30)</f>
        <v/>
      </c>
      <c r="J30" s="41">
        <f>'AMUSE JAPAN_上期_7-12月'!I30</f>
        <v/>
      </c>
      <c r="K30" s="42">
        <f>I30+J30</f>
        <v/>
      </c>
    </row>
    <row r="31" ht="13" customHeight="1">
      <c r="A31" s="8" t="inlineStr">
        <is>
          <t>20</t>
        </is>
      </c>
      <c r="B31" s="8" t="inlineStr">
        <is>
          <t xml:space="preserve">  小口現金</t>
        </is>
      </c>
      <c r="C31" s="9" t="n"/>
      <c r="D31" s="9" t="n">
        <v>150000</v>
      </c>
      <c r="E31" s="9" t="n"/>
      <c r="F31" s="9" t="n"/>
      <c r="G31" s="9" t="n"/>
      <c r="H31" s="9" t="n"/>
      <c r="I31" s="10">
        <f>SUM(C31:H31)</f>
        <v/>
      </c>
      <c r="J31" s="41" t="n"/>
      <c r="K31" s="42">
        <f>I31+J31</f>
        <v/>
      </c>
    </row>
    <row r="32" ht="13" customHeight="1">
      <c r="A32" s="8" t="inlineStr">
        <is>
          <t>26</t>
        </is>
      </c>
      <c r="B32" s="8" t="inlineStr">
        <is>
          <t xml:space="preserve">  佐川急便</t>
        </is>
      </c>
      <c r="C32" s="9" t="n">
        <v>2439</v>
      </c>
      <c r="D32" s="9" t="n"/>
      <c r="E32" s="9" t="n"/>
      <c r="F32" s="9" t="n"/>
      <c r="G32" s="9" t="n"/>
      <c r="H32" s="9" t="n"/>
      <c r="I32" s="10">
        <f>SUM(C32:H32)</f>
        <v/>
      </c>
      <c r="J32" s="41">
        <f>'AMUSE JAPAN_上期_7-12月'!I35</f>
        <v/>
      </c>
      <c r="K32" s="42">
        <f>I32+J32</f>
        <v/>
      </c>
    </row>
    <row r="33" ht="13" customHeight="1">
      <c r="A33" s="8" t="inlineStr">
        <is>
          <t>10</t>
        </is>
      </c>
      <c r="B33" s="8" t="inlineStr">
        <is>
          <t xml:space="preserve">  オノデン</t>
        </is>
      </c>
      <c r="C33" s="9" t="n">
        <v>250000</v>
      </c>
      <c r="D33" s="9" t="n"/>
      <c r="E33" s="9" t="n"/>
      <c r="F33" s="9" t="n"/>
      <c r="G33" s="9" t="n"/>
      <c r="H33" s="9" t="n"/>
      <c r="I33" s="10">
        <f>SUM(C33:H33)</f>
        <v/>
      </c>
      <c r="J33" s="41" t="n"/>
      <c r="K33" s="42">
        <f>I33+J33</f>
        <v/>
      </c>
    </row>
    <row r="34" ht="13" customHeight="1">
      <c r="A34" s="8" t="inlineStr">
        <is>
          <t>30</t>
        </is>
      </c>
      <c r="B34" s="8" t="inlineStr">
        <is>
          <t xml:space="preserve">  覚建築</t>
        </is>
      </c>
      <c r="C34" s="9" t="n">
        <v>154000</v>
      </c>
      <c r="D34" s="9" t="n"/>
      <c r="E34" s="9" t="n"/>
      <c r="F34" s="9" t="n"/>
      <c r="G34" s="9" t="n"/>
      <c r="H34" s="9" t="n"/>
      <c r="I34" s="10">
        <f>SUM(C34:H34)</f>
        <v/>
      </c>
      <c r="J34" s="41">
        <f>'AMUSE JAPAN_上期_7-12月'!I43</f>
        <v/>
      </c>
      <c r="K34" s="42">
        <f>I34+J34</f>
        <v/>
      </c>
    </row>
    <row r="35" ht="13" customHeight="1">
      <c r="A35" s="8" t="inlineStr"/>
      <c r="B35" s="8" t="inlineStr">
        <is>
          <t xml:space="preserve">  ネスコ</t>
        </is>
      </c>
      <c r="C35" s="9" t="n">
        <v>1076196</v>
      </c>
      <c r="D35" s="9" t="n"/>
      <c r="E35" s="9" t="n"/>
      <c r="F35" s="9" t="n"/>
      <c r="G35" s="9" t="n"/>
      <c r="H35" s="9" t="n"/>
      <c r="I35" s="10">
        <f>SUM(C35:H35)</f>
        <v/>
      </c>
      <c r="J35" s="41" t="n"/>
      <c r="K35" s="42">
        <f>I35+J35</f>
        <v/>
      </c>
    </row>
    <row r="36" ht="13" customHeight="1">
      <c r="A36" s="8" t="inlineStr"/>
      <c r="B36" s="8" t="inlineStr">
        <is>
          <t xml:space="preserve">  ネットプロテクションズ</t>
        </is>
      </c>
      <c r="C36" s="9" t="n"/>
      <c r="D36" s="9" t="n">
        <v>4411</v>
      </c>
      <c r="E36" s="9" t="n"/>
      <c r="F36" s="9" t="n"/>
      <c r="G36" s="9" t="n"/>
      <c r="H36" s="9" t="n"/>
      <c r="I36" s="10">
        <f>SUM(C36:H36)</f>
        <v/>
      </c>
      <c r="J36" s="41">
        <f>'AMUSE JAPAN_上期_7-12月'!I32</f>
        <v/>
      </c>
      <c r="K36" s="42">
        <f>I36+J36</f>
        <v/>
      </c>
    </row>
    <row r="37" ht="13" customHeight="1">
      <c r="A37" s="8" t="inlineStr"/>
      <c r="B37" s="8" t="inlineStr">
        <is>
          <t xml:space="preserve">  ネットプロテクションズ</t>
        </is>
      </c>
      <c r="C37" s="9" t="n"/>
      <c r="D37" s="9" t="n">
        <v>13530</v>
      </c>
      <c r="E37" s="9" t="n"/>
      <c r="F37" s="9" t="n"/>
      <c r="G37" s="9" t="n"/>
      <c r="H37" s="9" t="n"/>
      <c r="I37" s="10">
        <f>SUM(C37:H37)</f>
        <v/>
      </c>
      <c r="J37" s="41" t="n"/>
      <c r="K37" s="42">
        <f>I37+J37</f>
        <v/>
      </c>
    </row>
    <row r="38" ht="13" customHeight="1">
      <c r="A38" s="8" t="inlineStr"/>
      <c r="B38" s="8" t="inlineStr">
        <is>
          <t xml:space="preserve">  エムテック</t>
        </is>
      </c>
      <c r="C38" s="9" t="n"/>
      <c r="D38" s="9" t="n"/>
      <c r="E38" s="9" t="n"/>
      <c r="F38" s="9" t="n">
        <v>44000</v>
      </c>
      <c r="G38" s="9" t="n"/>
      <c r="H38" s="9" t="n"/>
      <c r="I38" s="10">
        <f>SUM(C38:H38)</f>
        <v/>
      </c>
      <c r="J38" s="41">
        <f>'AMUSE JAPAN_上期_7-12月'!I39</f>
        <v/>
      </c>
      <c r="K38" s="42">
        <f>I38+J38</f>
        <v/>
      </c>
    </row>
    <row r="39" ht="13" customHeight="1">
      <c r="A39" s="8" t="inlineStr"/>
      <c r="B39" s="8" t="inlineStr">
        <is>
          <t xml:space="preserve">  P-POP年払い</t>
        </is>
      </c>
      <c r="C39" s="9" t="n"/>
      <c r="D39" s="9" t="n"/>
      <c r="E39" s="9" t="n"/>
      <c r="F39" s="9" t="n">
        <v>99000</v>
      </c>
      <c r="G39" s="9" t="n"/>
      <c r="H39" s="9" t="n"/>
      <c r="I39" s="10">
        <f>SUM(C39:H39)</f>
        <v/>
      </c>
      <c r="J39" s="41" t="n"/>
      <c r="K39" s="42">
        <f>I39+J39</f>
        <v/>
      </c>
    </row>
    <row r="40" ht="13" customHeight="1">
      <c r="A40" s="8" t="inlineStr"/>
      <c r="B40" s="8" t="inlineStr">
        <is>
          <t xml:space="preserve">  健康診断</t>
        </is>
      </c>
      <c r="C40" s="9" t="n"/>
      <c r="D40" s="9" t="n"/>
      <c r="E40" s="9" t="n"/>
      <c r="F40" s="9" t="n">
        <v>59400</v>
      </c>
      <c r="G40" s="9" t="n"/>
      <c r="H40" s="9" t="n"/>
      <c r="I40" s="10">
        <f>SUM(C40:H40)</f>
        <v/>
      </c>
      <c r="J40" s="41" t="n"/>
      <c r="K40" s="42">
        <f>I40+J40</f>
        <v/>
      </c>
    </row>
    <row r="41" ht="13" customHeight="1">
      <c r="A41" s="8" t="inlineStr"/>
      <c r="B41" s="8" t="inlineStr">
        <is>
          <t xml:space="preserve">  ヤマト</t>
        </is>
      </c>
      <c r="C41" s="9" t="n"/>
      <c r="D41" s="9" t="n"/>
      <c r="E41" s="9" t="n"/>
      <c r="F41" s="9" t="n"/>
      <c r="G41" s="9" t="n"/>
      <c r="H41" s="9" t="n"/>
      <c r="I41" s="10">
        <f>SUM(C41:H41)</f>
        <v/>
      </c>
      <c r="J41" s="41">
        <f>'AMUSE JAPAN_上期_7-12月'!I34</f>
        <v/>
      </c>
      <c r="K41" s="42">
        <f>I41+J41</f>
        <v/>
      </c>
    </row>
    <row r="42" ht="13" customHeight="1">
      <c r="A42" s="8" t="inlineStr"/>
      <c r="B42" s="8" t="inlineStr">
        <is>
          <t xml:space="preserve">  雑費</t>
        </is>
      </c>
      <c r="C42" s="9" t="n"/>
      <c r="D42" s="9" t="n"/>
      <c r="E42" s="9" t="n"/>
      <c r="F42" s="9" t="n"/>
      <c r="G42" s="9" t="n"/>
      <c r="H42" s="9" t="n"/>
      <c r="I42" s="10">
        <f>SUM(C42:H42)</f>
        <v/>
      </c>
      <c r="J42" s="41">
        <f>'AMUSE JAPAN_上期_7-12月'!I46</f>
        <v/>
      </c>
      <c r="K42" s="42">
        <f>I42+J42</f>
        <v/>
      </c>
    </row>
    <row r="43" ht="13" customHeight="1">
      <c r="A43" s="8" t="inlineStr"/>
      <c r="B43" s="8" t="inlineStr">
        <is>
          <t xml:space="preserve">  店研創意</t>
        </is>
      </c>
      <c r="C43" s="9" t="n"/>
      <c r="D43" s="9" t="n"/>
      <c r="E43" s="9" t="n"/>
      <c r="F43" s="9" t="n"/>
      <c r="G43" s="9" t="n"/>
      <c r="H43" s="9" t="n"/>
      <c r="I43" s="10">
        <f>SUM(C43:H43)</f>
        <v/>
      </c>
      <c r="J43" s="41">
        <f>'AMUSE JAPAN_上期_7-12月'!I47</f>
        <v/>
      </c>
      <c r="K43" s="42">
        <f>I43+J43</f>
        <v/>
      </c>
    </row>
    <row r="44" ht="12" customHeight="1">
      <c r="A44" s="11" t="n"/>
      <c r="B44" s="11" t="n"/>
      <c r="C44" s="12" t="n"/>
      <c r="D44" s="12" t="n"/>
      <c r="E44" s="12" t="n"/>
      <c r="F44" s="12" t="n"/>
      <c r="G44" s="12" t="n"/>
      <c r="H44" s="12" t="n"/>
      <c r="I44" s="13" t="n"/>
      <c r="J44" s="43" t="n"/>
      <c r="K44" s="44" t="n"/>
    </row>
    <row r="45" ht="14" customHeight="1">
      <c r="A45" s="4" t="n"/>
      <c r="B45" s="5" t="inlineStr">
        <is>
          <t>▶ グループ間</t>
        </is>
      </c>
      <c r="C45" s="6">
        <f>SUM(C46:C48)</f>
        <v/>
      </c>
      <c r="D45" s="6">
        <f>SUM(D46:D48)</f>
        <v/>
      </c>
      <c r="E45" s="6">
        <f>SUM(E46:E48)</f>
        <v/>
      </c>
      <c r="F45" s="6">
        <f>SUM(F46:F48)</f>
        <v/>
      </c>
      <c r="G45" s="6">
        <f>SUM(G46:G48)</f>
        <v/>
      </c>
      <c r="H45" s="6">
        <f>SUM(H46:H48)</f>
        <v/>
      </c>
      <c r="I45" s="7">
        <f>SUM(I46:I48)</f>
        <v/>
      </c>
      <c r="J45" s="39">
        <f>SUM(J46:J48)</f>
        <v/>
      </c>
      <c r="K45" s="40">
        <f>SUM(K46:K48)</f>
        <v/>
      </c>
    </row>
    <row r="46" ht="13" customHeight="1">
      <c r="A46" s="8" t="inlineStr"/>
      <c r="B46" s="8" t="inlineStr">
        <is>
          <t xml:space="preserve">  大日　事務手数料</t>
        </is>
      </c>
      <c r="C46" s="14" t="n">
        <v>110000</v>
      </c>
      <c r="D46" s="14" t="n">
        <v>110000</v>
      </c>
      <c r="E46" s="14" t="n">
        <v>110000</v>
      </c>
      <c r="F46" s="14" t="n">
        <v>110000</v>
      </c>
      <c r="G46" s="14" t="n">
        <v>110000</v>
      </c>
      <c r="H46" s="14" t="n"/>
      <c r="I46" s="10">
        <f>SUM(C46:H46)</f>
        <v/>
      </c>
      <c r="J46" s="41">
        <f>'AMUSE JAPAN_上期_7-12月'!I50</f>
        <v/>
      </c>
      <c r="K46" s="42">
        <f>I46+J46</f>
        <v/>
      </c>
    </row>
    <row r="47" ht="13" customHeight="1">
      <c r="A47" s="8" t="inlineStr"/>
      <c r="B47" s="8" t="inlineStr">
        <is>
          <t xml:space="preserve">  ウェルピア</t>
        </is>
      </c>
      <c r="C47" s="9" t="n">
        <v>104720</v>
      </c>
      <c r="D47" s="9" t="n"/>
      <c r="E47" s="9" t="n"/>
      <c r="F47" s="9" t="n"/>
      <c r="G47" s="9" t="n"/>
      <c r="H47" s="9" t="n"/>
      <c r="I47" s="10">
        <f>SUM(C47:H47)</f>
        <v/>
      </c>
      <c r="J47" s="41">
        <f>'AMUSE JAPAN_上期_7-12月'!I51</f>
        <v/>
      </c>
      <c r="K47" s="42">
        <f>I47+J47</f>
        <v/>
      </c>
    </row>
    <row r="48" ht="12" customHeight="1">
      <c r="A48" s="11" t="n"/>
      <c r="B48" s="11" t="n"/>
      <c r="C48" s="12" t="n"/>
      <c r="D48" s="12" t="n"/>
      <c r="E48" s="12" t="n"/>
      <c r="F48" s="12" t="n"/>
      <c r="G48" s="12" t="n"/>
      <c r="H48" s="12" t="n"/>
      <c r="I48" s="13" t="n"/>
      <c r="J48" s="43" t="n"/>
      <c r="K48" s="44" t="n"/>
    </row>
    <row r="49" ht="14" customHeight="1">
      <c r="A49" s="4" t="n"/>
      <c r="B49" s="5" t="inlineStr">
        <is>
          <t>▶ 年払い</t>
        </is>
      </c>
      <c r="C49" s="6">
        <f>SUM(C50:C52)</f>
        <v/>
      </c>
      <c r="D49" s="6">
        <f>SUM(D50:D52)</f>
        <v/>
      </c>
      <c r="E49" s="6">
        <f>SUM(E50:E52)</f>
        <v/>
      </c>
      <c r="F49" s="6">
        <f>SUM(F50:F52)</f>
        <v/>
      </c>
      <c r="G49" s="6">
        <f>SUM(G50:G52)</f>
        <v/>
      </c>
      <c r="H49" s="6">
        <f>SUM(H50:H52)</f>
        <v/>
      </c>
      <c r="I49" s="7">
        <f>SUM(I50:I52)</f>
        <v/>
      </c>
      <c r="J49" s="39">
        <f>SUM(J50:J52)</f>
        <v/>
      </c>
      <c r="K49" s="40">
        <f>SUM(K50:K52)</f>
        <v/>
      </c>
    </row>
    <row r="50" ht="13" customHeight="1">
      <c r="A50" s="8" t="inlineStr"/>
      <c r="B50" s="8" t="inlineStr">
        <is>
          <t xml:space="preserve">  USEN (毎年1月振替）</t>
        </is>
      </c>
      <c r="C50" s="9" t="n">
        <v>87120</v>
      </c>
      <c r="D50" s="9" t="n"/>
      <c r="E50" s="9" t="n"/>
      <c r="F50" s="9" t="n"/>
      <c r="G50" s="9" t="n"/>
      <c r="H50" s="9" t="n"/>
      <c r="I50" s="10">
        <f>SUM(C50:H50)</f>
        <v/>
      </c>
      <c r="J50" s="41">
        <f>'AMUSE JAPAN_上期_7-12月'!I55</f>
        <v/>
      </c>
      <c r="K50" s="42">
        <f>I50+J50</f>
        <v/>
      </c>
    </row>
    <row r="51" ht="13" customHeight="1">
      <c r="A51" s="8" t="inlineStr"/>
      <c r="B51" s="8" t="inlineStr">
        <is>
          <t xml:space="preserve">  北研　管理費（毎年5月）343200</t>
        </is>
      </c>
      <c r="C51" s="9" t="n"/>
      <c r="D51" s="9" t="n"/>
      <c r="E51" s="9" t="n"/>
      <c r="F51" s="9" t="n"/>
      <c r="G51" s="9" t="n"/>
      <c r="H51" s="9" t="n"/>
      <c r="I51" s="10">
        <f>SUM(C51:H51)</f>
        <v/>
      </c>
      <c r="J51" s="41">
        <f>'AMUSE JAPAN_上期_7-12月'!I54</f>
        <v/>
      </c>
      <c r="K51" s="42">
        <f>I51+J51</f>
        <v/>
      </c>
    </row>
    <row r="52" ht="12" customHeight="1">
      <c r="A52" s="11" t="n"/>
      <c r="B52" s="11" t="n"/>
      <c r="C52" s="12" t="n"/>
      <c r="D52" s="12" t="n"/>
      <c r="E52" s="12" t="n"/>
      <c r="F52" s="12" t="n"/>
      <c r="G52" s="12" t="n"/>
      <c r="H52" s="12" t="n"/>
      <c r="I52" s="13" t="n"/>
      <c r="J52" s="43" t="n"/>
      <c r="K52" s="44" t="n"/>
    </row>
    <row r="53" ht="14" customHeight="1">
      <c r="A53" s="4" t="n"/>
      <c r="B53" s="5" t="inlineStr">
        <is>
          <t>▶ 銀行返済</t>
        </is>
      </c>
      <c r="C53" s="6">
        <f>SUM(C54:C59)</f>
        <v/>
      </c>
      <c r="D53" s="6">
        <f>SUM(D54:D59)</f>
        <v/>
      </c>
      <c r="E53" s="6">
        <f>SUM(E54:E59)</f>
        <v/>
      </c>
      <c r="F53" s="6">
        <f>SUM(F54:F59)</f>
        <v/>
      </c>
      <c r="G53" s="6">
        <f>SUM(G54:G59)</f>
        <v/>
      </c>
      <c r="H53" s="6">
        <f>SUM(H54:H59)</f>
        <v/>
      </c>
      <c r="I53" s="7">
        <f>SUM(I54:I59)</f>
        <v/>
      </c>
      <c r="J53" s="39">
        <f>SUM(J54:J59)</f>
        <v/>
      </c>
      <c r="K53" s="40">
        <f>SUM(K54:K59)</f>
        <v/>
      </c>
    </row>
    <row r="54" ht="13" customHeight="1">
      <c r="A54" s="8" t="inlineStr">
        <is>
          <t>末</t>
        </is>
      </c>
      <c r="B54" s="8" t="inlineStr">
        <is>
          <t xml:space="preserve">  信用保証協会　　4千万　Ｒ7．6～（8回〜11回）</t>
        </is>
      </c>
      <c r="C54" s="9" t="n">
        <v>410771</v>
      </c>
      <c r="D54" s="9" t="n">
        <v>414591</v>
      </c>
      <c r="E54" s="9" t="n">
        <v>412758</v>
      </c>
      <c r="F54" s="9" t="n">
        <v>413709</v>
      </c>
      <c r="G54" s="9" t="n"/>
      <c r="H54" s="9" t="n"/>
      <c r="I54" s="10">
        <f>SUM(C54:H54)</f>
        <v/>
      </c>
      <c r="J54" s="41">
        <f>'AMUSE JAPAN_上期_7-12月'!I58</f>
        <v/>
      </c>
      <c r="K54" s="42">
        <f>I54+J54</f>
        <v/>
      </c>
    </row>
    <row r="55" ht="13" customHeight="1">
      <c r="A55" s="8" t="inlineStr">
        <is>
          <t>末</t>
        </is>
      </c>
      <c r="B55" s="8" t="inlineStr">
        <is>
          <t xml:space="preserve">  信用保証協会6千万（27回〜30回）</t>
        </is>
      </c>
      <c r="C55" s="9" t="n">
        <v>567775</v>
      </c>
      <c r="D55" s="9" t="n">
        <v>574230</v>
      </c>
      <c r="E55" s="9" t="n">
        <v>580404</v>
      </c>
      <c r="F55" s="9" t="n">
        <v>582171</v>
      </c>
      <c r="G55" s="9" t="n"/>
      <c r="H55" s="9" t="n"/>
      <c r="I55" s="10">
        <f>SUM(C55:H55)</f>
        <v/>
      </c>
      <c r="J55" s="41">
        <f>'AMUSE JAPAN_上期_7-12月'!I59</f>
        <v/>
      </c>
      <c r="K55" s="42">
        <f>I55+J55</f>
        <v/>
      </c>
    </row>
    <row r="56" ht="13" customHeight="1">
      <c r="A56" s="8" t="inlineStr">
        <is>
          <t>末</t>
        </is>
      </c>
      <c r="B56" s="8" t="inlineStr">
        <is>
          <t xml:space="preserve">  信用保証協会　4千万　Ｒ7．11～（3回〜6回）</t>
        </is>
      </c>
      <c r="C56" s="9" t="n">
        <v>392837</v>
      </c>
      <c r="D56" s="9" t="n">
        <v>398682</v>
      </c>
      <c r="E56" s="9" t="n">
        <v>405620</v>
      </c>
      <c r="F56" s="9" t="n">
        <v>405620</v>
      </c>
      <c r="G56" s="9" t="n"/>
      <c r="H56" s="9" t="n"/>
      <c r="I56" s="10">
        <f>SUM(C56:H56)</f>
        <v/>
      </c>
      <c r="J56" s="41">
        <f>'AMUSE JAPAN_上期_7-12月'!I60</f>
        <v/>
      </c>
      <c r="K56" s="42">
        <f>I56+J56</f>
        <v/>
      </c>
    </row>
    <row r="57" ht="13" customHeight="1">
      <c r="A57" s="8" t="inlineStr">
        <is>
          <t>末</t>
        </is>
      </c>
      <c r="B57" s="8" t="inlineStr">
        <is>
          <t xml:space="preserve">  岐阜信用金庫1億（27回〜30回）</t>
        </is>
      </c>
      <c r="C57" s="9" t="n">
        <v>1006370</v>
      </c>
      <c r="D57" s="9" t="n">
        <v>1022785</v>
      </c>
      <c r="E57" s="9" t="n">
        <v>1030285</v>
      </c>
      <c r="F57" s="9" t="n">
        <v>1034597</v>
      </c>
      <c r="G57" s="9" t="n"/>
      <c r="H57" s="9" t="n"/>
      <c r="I57" s="10">
        <f>SUM(C57:H57)</f>
        <v/>
      </c>
      <c r="J57" s="41">
        <f>'AMUSE JAPAN_上期_7-12月'!I61</f>
        <v/>
      </c>
      <c r="K57" s="42">
        <f>I57+J57</f>
        <v/>
      </c>
    </row>
    <row r="58" ht="13" customHeight="1">
      <c r="A58" s="8" t="inlineStr">
        <is>
          <t>末</t>
        </is>
      </c>
      <c r="B58" s="8" t="inlineStr">
        <is>
          <t xml:space="preserve">  政策金融公庫2億（64回〜67回）</t>
        </is>
      </c>
      <c r="C58" s="9" t="n">
        <v>1249115</v>
      </c>
      <c r="D58" s="9" t="n">
        <v>1235301</v>
      </c>
      <c r="E58" s="9" t="n">
        <v>1241548</v>
      </c>
      <c r="F58" s="9" t="n">
        <v>1241548</v>
      </c>
      <c r="G58" s="9" t="n"/>
      <c r="H58" s="9" t="n"/>
      <c r="I58" s="10">
        <f>SUM(C58:H58)</f>
        <v/>
      </c>
      <c r="J58" s="41">
        <f>'AMUSE JAPAN_上期_7-12月'!I62</f>
        <v/>
      </c>
      <c r="K58" s="42">
        <f>I58+J58</f>
        <v/>
      </c>
    </row>
    <row r="59" ht="1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3" t="n"/>
      <c r="J59" s="43" t="n"/>
      <c r="K59" s="44" t="n"/>
    </row>
    <row r="60" ht="14" customHeight="1">
      <c r="A60" s="4" t="n"/>
      <c r="B60" s="5" t="inlineStr">
        <is>
          <t>▶ 納税</t>
        </is>
      </c>
      <c r="C60" s="6">
        <f>SUM(C61:C63)</f>
        <v/>
      </c>
      <c r="D60" s="6">
        <f>SUM(D61:D63)</f>
        <v/>
      </c>
      <c r="E60" s="6">
        <f>SUM(E61:E63)</f>
        <v/>
      </c>
      <c r="F60" s="6">
        <f>SUM(F61:F63)</f>
        <v/>
      </c>
      <c r="G60" s="6">
        <f>SUM(G61:G63)</f>
        <v/>
      </c>
      <c r="H60" s="6">
        <f>SUM(H61:H63)</f>
        <v/>
      </c>
      <c r="I60" s="7">
        <f>SUM(I61:I63)</f>
        <v/>
      </c>
      <c r="J60" s="39">
        <f>SUM(J61:J63)</f>
        <v/>
      </c>
      <c r="K60" s="40">
        <f>SUM(K61:K63)</f>
        <v/>
      </c>
    </row>
    <row r="61" ht="13" customHeight="1">
      <c r="A61" s="8" t="inlineStr">
        <is>
          <t>15</t>
        </is>
      </c>
      <c r="B61" s="8" t="inlineStr">
        <is>
          <t xml:space="preserve">  （消費税）（1回〜3回）</t>
        </is>
      </c>
      <c r="C61" s="9" t="n"/>
      <c r="D61" s="9" t="n">
        <v>638500</v>
      </c>
      <c r="E61" s="9" t="n">
        <v>500000</v>
      </c>
      <c r="F61" s="9" t="n">
        <v>501668</v>
      </c>
      <c r="G61" s="9" t="n">
        <v>500000</v>
      </c>
      <c r="H61" s="9" t="n"/>
      <c r="I61" s="10">
        <f>SUM(C61:H61)</f>
        <v/>
      </c>
      <c r="J61" s="41">
        <f>'AMUSE JAPAN_上期_7-12月'!I65</f>
        <v/>
      </c>
      <c r="K61" s="42">
        <f>I61+J61</f>
        <v/>
      </c>
    </row>
    <row r="62" ht="13" customHeight="1">
      <c r="A62" s="8" t="inlineStr"/>
      <c r="B62" s="8" t="inlineStr">
        <is>
          <t xml:space="preserve">  固定資産　（4.7.12.2月）276000</t>
        </is>
      </c>
      <c r="C62" s="9" t="n"/>
      <c r="D62" s="9" t="n">
        <v>280000</v>
      </c>
      <c r="E62" s="9" t="n"/>
      <c r="F62" s="9" t="n"/>
      <c r="G62" s="9" t="n"/>
      <c r="H62" s="9" t="n"/>
      <c r="I62" s="10">
        <f>SUM(C62:H62)</f>
        <v/>
      </c>
      <c r="J62" s="41">
        <f>'AMUSE JAPAN_上期_7-12月'!I66</f>
        <v/>
      </c>
      <c r="K62" s="42">
        <f>I62+J62</f>
        <v/>
      </c>
    </row>
    <row r="63" ht="1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3" t="n"/>
      <c r="J63" s="43" t="n"/>
      <c r="K63" s="44" t="n"/>
    </row>
    <row r="64" ht="14" customHeight="1">
      <c r="A64" s="4" t="n"/>
      <c r="B64" s="5" t="inlineStr">
        <is>
          <t>▶ 雑費、保守、メンテ</t>
        </is>
      </c>
      <c r="C64" s="6">
        <f>SUM(C65:C75)</f>
        <v/>
      </c>
      <c r="D64" s="6">
        <f>SUM(D65:D75)</f>
        <v/>
      </c>
      <c r="E64" s="6">
        <f>SUM(E65:E75)</f>
        <v/>
      </c>
      <c r="F64" s="6">
        <f>SUM(F65:F75)</f>
        <v/>
      </c>
      <c r="G64" s="6">
        <f>SUM(G65:G75)</f>
        <v/>
      </c>
      <c r="H64" s="6">
        <f>SUM(H65:H75)</f>
        <v/>
      </c>
      <c r="I64" s="7">
        <f>SUM(I65:I75)</f>
        <v/>
      </c>
      <c r="J64" s="39">
        <f>SUM(J65:J75)</f>
        <v/>
      </c>
      <c r="K64" s="40">
        <f>SUM(K65:K75)</f>
        <v/>
      </c>
    </row>
    <row r="65" ht="13" customHeight="1">
      <c r="A65" s="8" t="inlineStr"/>
      <c r="B65" s="8" t="inlineStr">
        <is>
          <t xml:space="preserve">  イージス４</t>
        </is>
      </c>
      <c r="C65" s="14" t="n">
        <v>11083</v>
      </c>
      <c r="D65" s="14" t="n">
        <v>11083</v>
      </c>
      <c r="E65" s="14" t="n">
        <v>11083</v>
      </c>
      <c r="F65" s="14" t="n">
        <v>11083</v>
      </c>
      <c r="G65" s="14" t="n">
        <v>11083</v>
      </c>
      <c r="H65" s="14" t="n"/>
      <c r="I65" s="10">
        <f>SUM(C65:H65)</f>
        <v/>
      </c>
      <c r="J65" s="41">
        <f>'AMUSE JAPAN_上期_7-12月'!I70</f>
        <v/>
      </c>
      <c r="K65" s="42">
        <f>I65+J65</f>
        <v/>
      </c>
    </row>
    <row r="66" ht="13" customHeight="1">
      <c r="A66" s="8" t="inlineStr"/>
      <c r="B66" s="8" t="inlineStr">
        <is>
          <t xml:space="preserve">  北電子　遊動</t>
        </is>
      </c>
      <c r="C66" s="9" t="n">
        <v>16280</v>
      </c>
      <c r="D66" s="9" t="n">
        <v>16280</v>
      </c>
      <c r="E66" s="9" t="n">
        <v>49280</v>
      </c>
      <c r="F66" s="9" t="n">
        <v>49280</v>
      </c>
      <c r="G66" s="9" t="n">
        <v>49280</v>
      </c>
      <c r="H66" s="9" t="n"/>
      <c r="I66" s="10">
        <f>SUM(C66:H66)</f>
        <v/>
      </c>
      <c r="J66" s="41">
        <f>'AMUSE JAPAN_上期_7-12月'!I71</f>
        <v/>
      </c>
      <c r="K66" s="42">
        <f>I66+J66</f>
        <v/>
      </c>
    </row>
    <row r="67" ht="13" customHeight="1">
      <c r="A67" s="8" t="inlineStr">
        <is>
          <t>6</t>
        </is>
      </c>
      <c r="B67" s="8" t="inlineStr">
        <is>
          <t xml:space="preserve">  ブリックス社労士事務所</t>
        </is>
      </c>
      <c r="C67" s="14" t="n">
        <v>34100</v>
      </c>
      <c r="D67" s="14" t="n">
        <v>34100</v>
      </c>
      <c r="E67" s="14" t="n">
        <v>34100</v>
      </c>
      <c r="F67" s="14" t="n">
        <v>34100</v>
      </c>
      <c r="G67" s="14" t="n">
        <v>34100</v>
      </c>
      <c r="H67" s="14" t="n"/>
      <c r="I67" s="10">
        <f>SUM(C67:H67)</f>
        <v/>
      </c>
      <c r="J67" s="41">
        <f>'AMUSE JAPAN_上期_7-12月'!I72</f>
        <v/>
      </c>
      <c r="K67" s="42">
        <f>I67+J67</f>
        <v/>
      </c>
    </row>
    <row r="68" ht="13" customHeight="1">
      <c r="A68" s="8" t="inlineStr">
        <is>
          <t>26</t>
        </is>
      </c>
      <c r="B68" s="8" t="inlineStr">
        <is>
          <t xml:space="preserve">  綜合警備保障　入金機</t>
        </is>
      </c>
      <c r="C68" s="14" t="n">
        <v>89640</v>
      </c>
      <c r="D68" s="14" t="n">
        <v>89640</v>
      </c>
      <c r="E68" s="14" t="n">
        <v>89640</v>
      </c>
      <c r="F68" s="14" t="n">
        <v>89640</v>
      </c>
      <c r="G68" s="14" t="n">
        <v>89640</v>
      </c>
      <c r="H68" s="14" t="n"/>
      <c r="I68" s="10">
        <f>SUM(C68:H68)</f>
        <v/>
      </c>
      <c r="J68" s="41">
        <f>'AMUSE JAPAN_上期_7-12月'!I76</f>
        <v/>
      </c>
      <c r="K68" s="42">
        <f>I68+J68</f>
        <v/>
      </c>
    </row>
    <row r="69" ht="13" customHeight="1">
      <c r="A69" s="8" t="inlineStr">
        <is>
          <t>26</t>
        </is>
      </c>
      <c r="B69" s="8" t="inlineStr">
        <is>
          <t xml:space="preserve">  大東建託　北出</t>
        </is>
      </c>
      <c r="C69" s="14" t="n">
        <v>76250</v>
      </c>
      <c r="D69" s="14" t="n">
        <v>76250</v>
      </c>
      <c r="E69" s="14" t="n">
        <v>76250</v>
      </c>
      <c r="F69" s="14" t="n">
        <v>76250</v>
      </c>
      <c r="G69" s="14" t="n">
        <v>76250</v>
      </c>
      <c r="H69" s="14" t="n"/>
      <c r="I69" s="10">
        <f>SUM(C69:H69)</f>
        <v/>
      </c>
      <c r="J69" s="41">
        <f>'AMUSE JAPAN_上期_7-12月'!I77</f>
        <v/>
      </c>
      <c r="K69" s="42">
        <f>I69+J69</f>
        <v/>
      </c>
    </row>
    <row r="70" ht="13" customHeight="1">
      <c r="A70" s="8" t="inlineStr"/>
      <c r="B70" s="8" t="inlineStr">
        <is>
          <t xml:space="preserve">  位田会計事務所</t>
        </is>
      </c>
      <c r="C70" s="9" t="n">
        <v>72600</v>
      </c>
      <c r="D70" s="9" t="n">
        <v>183700</v>
      </c>
      <c r="E70" s="9" t="n">
        <v>72600</v>
      </c>
      <c r="F70" s="9" t="n">
        <v>127600</v>
      </c>
      <c r="G70" s="9" t="n"/>
      <c r="H70" s="9" t="n"/>
      <c r="I70" s="10">
        <f>SUM(C70:H70)</f>
        <v/>
      </c>
      <c r="J70" s="41">
        <f>'AMUSE JAPAN_上期_7-12月'!I73</f>
        <v/>
      </c>
      <c r="K70" s="42">
        <f>I70+J70</f>
        <v/>
      </c>
    </row>
    <row r="71" ht="13" customHeight="1">
      <c r="A71" s="8" t="inlineStr">
        <is>
          <t>26</t>
        </is>
      </c>
      <c r="B71" s="8" t="inlineStr">
        <is>
          <t xml:space="preserve">  グローリーナスカ</t>
        </is>
      </c>
      <c r="C71" s="9" t="n">
        <v>362076</v>
      </c>
      <c r="D71" s="9" t="n">
        <v>361318</v>
      </c>
      <c r="E71" s="9" t="n">
        <v>358941</v>
      </c>
      <c r="F71" s="9" t="n">
        <v>360640</v>
      </c>
      <c r="G71" s="9" t="n"/>
      <c r="H71" s="9" t="n"/>
      <c r="I71" s="10">
        <f>SUM(C71:H71)</f>
        <v/>
      </c>
      <c r="J71" s="41">
        <f>'AMUSE JAPAN_上期_7-12月'!I74</f>
        <v/>
      </c>
      <c r="K71" s="42">
        <f>I71+J71</f>
        <v/>
      </c>
    </row>
    <row r="72" ht="13" customHeight="1">
      <c r="A72" s="8" t="inlineStr">
        <is>
          <t>26</t>
        </is>
      </c>
      <c r="B72" s="8" t="inlineStr">
        <is>
          <t xml:space="preserve">  ダイコク電機</t>
        </is>
      </c>
      <c r="C72" s="14" t="n"/>
      <c r="D72" s="14" t="n"/>
      <c r="E72" s="14" t="n">
        <v>38500</v>
      </c>
      <c r="F72" s="14" t="n">
        <v>38500</v>
      </c>
      <c r="G72" s="14" t="n">
        <v>38500</v>
      </c>
      <c r="H72" s="14" t="n"/>
      <c r="I72" s="10">
        <f>SUM(C72:H72)</f>
        <v/>
      </c>
      <c r="J72" s="41" t="n"/>
      <c r="K72" s="42">
        <f>I72+J72</f>
        <v/>
      </c>
    </row>
    <row r="73" ht="13" customHeight="1">
      <c r="A73" s="8" t="inlineStr">
        <is>
          <t>20</t>
        </is>
      </c>
      <c r="B73" s="8" t="inlineStr">
        <is>
          <t xml:space="preserve">  岐阜県遊協</t>
        </is>
      </c>
      <c r="C73" s="14" t="n">
        <v>140000</v>
      </c>
      <c r="D73" s="14" t="n"/>
      <c r="E73" s="14" t="n">
        <v>140000</v>
      </c>
      <c r="F73" s="14" t="n"/>
      <c r="G73" s="14" t="n"/>
      <c r="H73" s="14" t="n"/>
      <c r="I73" s="10">
        <f>SUM(C73:H73)</f>
        <v/>
      </c>
      <c r="J73" s="41">
        <f>'AMUSE JAPAN_上期_7-12月'!I79</f>
        <v/>
      </c>
      <c r="K73" s="42">
        <f>I73+J73</f>
        <v/>
      </c>
    </row>
    <row r="74" ht="13" customHeight="1">
      <c r="A74" s="8" t="inlineStr">
        <is>
          <t>27</t>
        </is>
      </c>
      <c r="B74" s="8" t="inlineStr">
        <is>
          <t xml:space="preserve">  ﾒﾃﾞｨｱｼｽﾃﾑ㈱　Dサーバー</t>
        </is>
      </c>
      <c r="C74" s="14" t="n">
        <v>33000</v>
      </c>
      <c r="D74" s="14" t="n">
        <v>33000</v>
      </c>
      <c r="E74" s="14" t="n"/>
      <c r="F74" s="14" t="n"/>
      <c r="G74" s="14" t="n"/>
      <c r="H74" s="14" t="n"/>
      <c r="I74" s="10">
        <f>SUM(C74:H74)</f>
        <v/>
      </c>
      <c r="J74" s="41">
        <f>'AMUSE JAPAN_上期_7-12月'!I75</f>
        <v/>
      </c>
      <c r="K74" s="42">
        <f>I74+J74</f>
        <v/>
      </c>
    </row>
    <row r="75" ht="1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3" t="n"/>
      <c r="J75" s="43" t="n"/>
      <c r="K75" s="44" t="n"/>
    </row>
    <row r="76" ht="14" customHeight="1">
      <c r="A76" s="4" t="n"/>
      <c r="B76" s="5" t="inlineStr">
        <is>
          <t>▶ 通信系</t>
        </is>
      </c>
      <c r="C76" s="6">
        <f>SUM(C77:C83)</f>
        <v/>
      </c>
      <c r="D76" s="6">
        <f>SUM(D77:D83)</f>
        <v/>
      </c>
      <c r="E76" s="6">
        <f>SUM(E77:E83)</f>
        <v/>
      </c>
      <c r="F76" s="6">
        <f>SUM(F77:F83)</f>
        <v/>
      </c>
      <c r="G76" s="6">
        <f>SUM(G77:G83)</f>
        <v/>
      </c>
      <c r="H76" s="6">
        <f>SUM(H77:H83)</f>
        <v/>
      </c>
      <c r="I76" s="7">
        <f>SUM(I77:I83)</f>
        <v/>
      </c>
      <c r="J76" s="39">
        <f>SUM(J77:J83)</f>
        <v/>
      </c>
      <c r="K76" s="40">
        <f>SUM(K77:K83)</f>
        <v/>
      </c>
    </row>
    <row r="77" ht="13" customHeight="1">
      <c r="A77" s="8" t="inlineStr">
        <is>
          <t>10</t>
        </is>
      </c>
      <c r="B77" s="8" t="inlineStr">
        <is>
          <t xml:space="preserve">  十六ＬＩＮＥ　ＰＡＹ（大日十六）</t>
        </is>
      </c>
      <c r="C77" s="14" t="n">
        <v>5500</v>
      </c>
      <c r="D77" s="14" t="n">
        <v>5500</v>
      </c>
      <c r="E77" s="14" t="n">
        <v>5500</v>
      </c>
      <c r="F77" s="14" t="n">
        <v>5500</v>
      </c>
      <c r="G77" s="14" t="n">
        <v>5500</v>
      </c>
      <c r="H77" s="14" t="n"/>
      <c r="I77" s="10">
        <f>SUM(C77:H77)</f>
        <v/>
      </c>
      <c r="J77" s="41">
        <f>'AMUSE JAPAN_上期_7-12月'!I82</f>
        <v/>
      </c>
      <c r="K77" s="42">
        <f>I77+J77</f>
        <v/>
      </c>
    </row>
    <row r="78" ht="13" customHeight="1">
      <c r="A78" s="8" t="inlineStr">
        <is>
          <t>10</t>
        </is>
      </c>
      <c r="B78" s="8" t="inlineStr">
        <is>
          <t xml:space="preserve">  テレ．マ－カ－（ＳＭ　TM保守</t>
        </is>
      </c>
      <c r="C78" s="14" t="n">
        <v>6765</v>
      </c>
      <c r="D78" s="14" t="n">
        <v>6765</v>
      </c>
      <c r="E78" s="14" t="n">
        <v>6765</v>
      </c>
      <c r="F78" s="14" t="n">
        <v>6765</v>
      </c>
      <c r="G78" s="14" t="n">
        <v>6765</v>
      </c>
      <c r="H78" s="14" t="n"/>
      <c r="I78" s="10">
        <f>SUM(C78:H78)</f>
        <v/>
      </c>
      <c r="J78" s="41">
        <f>'AMUSE JAPAN_上期_7-12月'!I83</f>
        <v/>
      </c>
      <c r="K78" s="42">
        <f>I78+J78</f>
        <v/>
      </c>
    </row>
    <row r="79" ht="13" customHeight="1">
      <c r="A79" s="8" t="inlineStr"/>
      <c r="B79" s="8" t="inlineStr">
        <is>
          <t xml:space="preserve">  テレ．マ－カ－（ＳＭ　フレッツ光</t>
        </is>
      </c>
      <c r="C79" s="14" t="n">
        <v>1320</v>
      </c>
      <c r="D79" s="14" t="n">
        <v>1320</v>
      </c>
      <c r="E79" s="14" t="n">
        <v>1320</v>
      </c>
      <c r="F79" s="14" t="n">
        <v>1320</v>
      </c>
      <c r="G79" s="14" t="n">
        <v>1320</v>
      </c>
      <c r="H79" s="14" t="n"/>
      <c r="I79" s="10">
        <f>SUM(C79:H79)</f>
        <v/>
      </c>
      <c r="J79" s="41">
        <f>'AMUSE JAPAN_上期_7-12月'!I84</f>
        <v/>
      </c>
      <c r="K79" s="42">
        <f>I79+J79</f>
        <v/>
      </c>
    </row>
    <row r="80" ht="13" customHeight="1">
      <c r="A80" s="8" t="inlineStr"/>
      <c r="B80" s="8" t="inlineStr">
        <is>
          <t xml:space="preserve">  ＮＴＴファイナンス</t>
        </is>
      </c>
      <c r="C80" s="14" t="n">
        <v>5401</v>
      </c>
      <c r="D80" s="14" t="n">
        <v>5401</v>
      </c>
      <c r="E80" s="14" t="n">
        <v>5401</v>
      </c>
      <c r="F80" s="14" t="n">
        <v>5401</v>
      </c>
      <c r="G80" s="14" t="n">
        <v>5401</v>
      </c>
      <c r="H80" s="14" t="n"/>
      <c r="I80" s="10">
        <f>SUM(C80:H80)</f>
        <v/>
      </c>
      <c r="J80" s="41">
        <f>'AMUSE JAPAN_上期_7-12月'!I85</f>
        <v/>
      </c>
      <c r="K80" s="42">
        <f>I80+J80</f>
        <v/>
      </c>
    </row>
    <row r="81" ht="13" customHeight="1">
      <c r="A81" s="8" t="inlineStr"/>
      <c r="B81" s="8" t="inlineStr">
        <is>
          <t xml:space="preserve">  KDDI（IP）</t>
        </is>
      </c>
      <c r="C81" s="14" t="n">
        <v>2500</v>
      </c>
      <c r="D81" s="14" t="n">
        <v>2500</v>
      </c>
      <c r="E81" s="14" t="n">
        <v>2500</v>
      </c>
      <c r="F81" s="14" t="n">
        <v>2500</v>
      </c>
      <c r="G81" s="14" t="n">
        <v>2500</v>
      </c>
      <c r="H81" s="14" t="n"/>
      <c r="I81" s="10">
        <f>SUM(C81:H81)</f>
        <v/>
      </c>
      <c r="J81" s="41">
        <f>'AMUSE JAPAN_上期_7-12月'!I86</f>
        <v/>
      </c>
      <c r="K81" s="42">
        <f>I81+J81</f>
        <v/>
      </c>
    </row>
    <row r="82" ht="13" customHeight="1">
      <c r="A82" s="8" t="inlineStr">
        <is>
          <t>10</t>
        </is>
      </c>
      <c r="B82" s="8" t="inlineStr">
        <is>
          <t xml:space="preserve">  NTT(5回線）</t>
        </is>
      </c>
      <c r="C82" s="9" t="n">
        <v>24132</v>
      </c>
      <c r="D82" s="9" t="n">
        <v>24966</v>
      </c>
      <c r="E82" s="9" t="n">
        <v>29193</v>
      </c>
      <c r="F82" s="9" t="n">
        <v>21004</v>
      </c>
      <c r="G82" s="9" t="n"/>
      <c r="H82" s="9" t="n"/>
      <c r="I82" s="10">
        <f>SUM(C82:H82)</f>
        <v/>
      </c>
      <c r="J82" s="41">
        <f>'AMUSE JAPAN_上期_7-12月'!I87</f>
        <v/>
      </c>
      <c r="K82" s="42">
        <f>I82+J82</f>
        <v/>
      </c>
    </row>
    <row r="83" ht="1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3" t="n"/>
      <c r="J83" s="43" t="n"/>
      <c r="K83" s="44" t="n"/>
    </row>
    <row r="84" ht="14" customHeight="1">
      <c r="A84" s="4" t="n"/>
      <c r="B84" s="5" t="inlineStr">
        <is>
          <t>▶ 月末支払い</t>
        </is>
      </c>
      <c r="C84" s="6">
        <f>SUM(C85:C86)</f>
        <v/>
      </c>
      <c r="D84" s="6">
        <f>SUM(D85:D86)</f>
        <v/>
      </c>
      <c r="E84" s="6">
        <f>SUM(E85:E86)</f>
        <v/>
      </c>
      <c r="F84" s="6">
        <f>SUM(F85:F86)</f>
        <v/>
      </c>
      <c r="G84" s="6">
        <f>SUM(G85:G86)</f>
        <v/>
      </c>
      <c r="H84" s="6">
        <f>SUM(H85:H86)</f>
        <v/>
      </c>
      <c r="I84" s="7">
        <f>SUM(I85:I86)</f>
        <v/>
      </c>
      <c r="J84" s="39">
        <f>SUM(J85:J86)</f>
        <v/>
      </c>
      <c r="K84" s="40">
        <f>SUM(K85:K86)</f>
        <v/>
      </c>
    </row>
    <row r="85" ht="13" customHeight="1">
      <c r="A85" s="8" t="inlineStr">
        <is>
          <t>28</t>
        </is>
      </c>
      <c r="B85" s="8" t="inlineStr">
        <is>
          <t xml:space="preserve">  月末　振込分</t>
        </is>
      </c>
      <c r="C85" s="9" t="n">
        <v>3757357</v>
      </c>
      <c r="D85" s="9" t="n">
        <v>3223054</v>
      </c>
      <c r="E85" s="9" t="n">
        <v>2726286</v>
      </c>
      <c r="F85" s="9" t="n">
        <v>2622018</v>
      </c>
      <c r="G85" s="9" t="n"/>
      <c r="H85" s="9" t="n"/>
      <c r="I85" s="10">
        <f>SUM(C85:H85)</f>
        <v/>
      </c>
      <c r="J85" s="41">
        <f>'AMUSE JAPAN_上期_7-12月'!I91</f>
        <v/>
      </c>
      <c r="K85" s="42">
        <f>I85+J85</f>
        <v/>
      </c>
    </row>
    <row r="86" ht="12" customHeight="1">
      <c r="A86" s="11" t="n"/>
      <c r="B86" s="11" t="n"/>
      <c r="C86" s="12" t="n"/>
      <c r="D86" s="12" t="n"/>
      <c r="E86" s="12" t="n"/>
      <c r="F86" s="12" t="n"/>
      <c r="G86" s="12" t="n"/>
      <c r="H86" s="12" t="n"/>
      <c r="I86" s="13" t="n"/>
      <c r="J86" s="43" t="n"/>
      <c r="K86" s="44" t="n"/>
    </row>
    <row r="87" ht="14" customHeight="1">
      <c r="A87" s="4" t="n"/>
      <c r="B87" s="5" t="inlineStr">
        <is>
          <t>▶ ＠機械</t>
        </is>
      </c>
      <c r="C87" s="6">
        <f>SUM(C88:C94)</f>
        <v/>
      </c>
      <c r="D87" s="6">
        <f>SUM(D88:D94)</f>
        <v/>
      </c>
      <c r="E87" s="6">
        <f>SUM(E88:E94)</f>
        <v/>
      </c>
      <c r="F87" s="6">
        <f>SUM(F88:F94)</f>
        <v/>
      </c>
      <c r="G87" s="6">
        <f>SUM(G88:G94)</f>
        <v/>
      </c>
      <c r="H87" s="6">
        <f>SUM(H88:H94)</f>
        <v/>
      </c>
      <c r="I87" s="7">
        <f>SUM(I88:I94)</f>
        <v/>
      </c>
      <c r="J87" s="39">
        <f>SUM(J88:J94)</f>
        <v/>
      </c>
      <c r="K87" s="40">
        <f>SUM(K88:K94)</f>
        <v/>
      </c>
    </row>
    <row r="88" ht="13" customHeight="1">
      <c r="A88" s="8" t="inlineStr">
        <is>
          <t>20</t>
        </is>
      </c>
      <c r="B88" s="8" t="inlineStr">
        <is>
          <t xml:space="preserve">  フジコム（設備割賦　手形）</t>
        </is>
      </c>
      <c r="C88" s="14" t="n">
        <v>1272975</v>
      </c>
      <c r="D88" s="14" t="n">
        <v>1272975</v>
      </c>
      <c r="E88" s="14" t="n">
        <v>1272975</v>
      </c>
      <c r="F88" s="14" t="n">
        <v>1272975</v>
      </c>
      <c r="G88" s="14" t="n">
        <v>1272975</v>
      </c>
      <c r="H88" s="14" t="n"/>
      <c r="I88" s="10">
        <f>SUM(C88:H88)</f>
        <v/>
      </c>
      <c r="J88" s="41">
        <f>'AMUSE JAPAN_上期_7-12月'!I94</f>
        <v/>
      </c>
      <c r="K88" s="42">
        <f>I88+J88</f>
        <v/>
      </c>
    </row>
    <row r="89" ht="13" customHeight="1">
      <c r="A89" s="8" t="inlineStr">
        <is>
          <t>20</t>
        </is>
      </c>
      <c r="B89" s="8" t="inlineStr">
        <is>
          <t xml:space="preserve">  フジコム（台割賦　手形）</t>
        </is>
      </c>
      <c r="C89" s="9" t="n">
        <v>51370</v>
      </c>
      <c r="D89" s="9" t="n">
        <v>51370</v>
      </c>
      <c r="E89" s="9" t="n">
        <v>51370</v>
      </c>
      <c r="F89" s="9" t="n">
        <v>284240</v>
      </c>
      <c r="G89" s="9" t="n">
        <v>434060</v>
      </c>
      <c r="H89" s="9" t="n"/>
      <c r="I89" s="10">
        <f>SUM(C89:H89)</f>
        <v/>
      </c>
      <c r="J89" s="41">
        <f>'AMUSE JAPAN_上期_7-12月'!I95</f>
        <v/>
      </c>
      <c r="K89" s="42">
        <f>I89+J89</f>
        <v/>
      </c>
    </row>
    <row r="90" ht="13" customHeight="1">
      <c r="A90" s="8" t="inlineStr"/>
      <c r="B90" s="8" t="inlineStr">
        <is>
          <t xml:space="preserve">  十六ﾘｰｽ（設備割賦＆リース）</t>
        </is>
      </c>
      <c r="C90" s="9" t="n">
        <v>441870</v>
      </c>
      <c r="D90" s="9" t="n">
        <v>441870</v>
      </c>
      <c r="E90" s="9" t="n">
        <v>441870</v>
      </c>
      <c r="F90" s="9" t="n">
        <v>229248</v>
      </c>
      <c r="G90" s="9" t="n">
        <v>229248</v>
      </c>
      <c r="H90" s="9" t="n"/>
      <c r="I90" s="10">
        <f>SUM(C90:H90)</f>
        <v/>
      </c>
      <c r="J90" s="41">
        <f>'AMUSE JAPAN_上期_7-12月'!I96</f>
        <v/>
      </c>
      <c r="K90" s="42">
        <f>I90+J90</f>
        <v/>
      </c>
    </row>
    <row r="91" ht="13" customHeight="1">
      <c r="A91" s="8" t="inlineStr">
        <is>
          <t>22</t>
        </is>
      </c>
      <c r="B91" s="8" t="inlineStr">
        <is>
          <t xml:space="preserve">  十六ﾘｰｽ（台割賦）</t>
        </is>
      </c>
      <c r="C91" s="9" t="n">
        <v>2923745</v>
      </c>
      <c r="D91" s="9" t="n">
        <v>3104585</v>
      </c>
      <c r="E91" s="9" t="n">
        <v>2668215</v>
      </c>
      <c r="F91" s="9" t="n">
        <v>2718595</v>
      </c>
      <c r="G91" s="9" t="n">
        <v>2960155</v>
      </c>
      <c r="H91" s="9" t="n"/>
      <c r="I91" s="10">
        <f>SUM(C91:H91)</f>
        <v/>
      </c>
      <c r="J91" s="41">
        <f>'AMUSE JAPAN_上期_7-12月'!I97</f>
        <v/>
      </c>
      <c r="K91" s="42">
        <f>I91+J91</f>
        <v/>
      </c>
    </row>
    <row r="92" ht="13" customHeight="1">
      <c r="A92" s="8" t="inlineStr">
        <is>
          <t>22</t>
        </is>
      </c>
      <c r="B92" s="8" t="inlineStr">
        <is>
          <t xml:space="preserve">  しんきんリース　ｺﾋﾟｰ機</t>
        </is>
      </c>
      <c r="C92" s="14" t="n">
        <v>13860</v>
      </c>
      <c r="D92" s="14" t="n">
        <v>13860</v>
      </c>
      <c r="E92" s="14" t="n">
        <v>13860</v>
      </c>
      <c r="F92" s="14" t="n">
        <v>13860</v>
      </c>
      <c r="G92" s="14" t="n">
        <v>13860</v>
      </c>
      <c r="H92" s="14" t="n"/>
      <c r="I92" s="10">
        <f>SUM(C92:H92)</f>
        <v/>
      </c>
      <c r="J92" s="41">
        <f>'AMUSE JAPAN_上期_7-12月'!I98</f>
        <v/>
      </c>
      <c r="K92" s="42">
        <f>I92+J92</f>
        <v/>
      </c>
    </row>
    <row r="93" ht="13" customHeight="1">
      <c r="A93" s="8" t="inlineStr"/>
      <c r="B93" s="8" t="inlineStr">
        <is>
          <t xml:space="preserve">  ＮＴＴ　ＴＣリ－ス</t>
        </is>
      </c>
      <c r="C93" s="14" t="n">
        <v>15950</v>
      </c>
      <c r="D93" s="14" t="n">
        <v>15950</v>
      </c>
      <c r="E93" s="14" t="n">
        <v>15950</v>
      </c>
      <c r="F93" s="14" t="n">
        <v>15950</v>
      </c>
      <c r="G93" s="14" t="n">
        <v>15950</v>
      </c>
      <c r="H93" s="14" t="n"/>
      <c r="I93" s="10">
        <f>SUM(C93:H93)</f>
        <v/>
      </c>
      <c r="J93" s="41">
        <f>'AMUSE JAPAN_上期_7-12月'!I99</f>
        <v/>
      </c>
      <c r="K93" s="42">
        <f>I93+J93</f>
        <v/>
      </c>
    </row>
    <row r="94" ht="12" customHeight="1">
      <c r="A94" s="11" t="n"/>
      <c r="B94" s="11" t="n"/>
      <c r="C94" s="12" t="n"/>
      <c r="D94" s="12" t="n"/>
      <c r="E94" s="12" t="n"/>
      <c r="F94" s="12" t="n"/>
      <c r="G94" s="12" t="n"/>
      <c r="H94" s="12" t="n"/>
      <c r="I94" s="13" t="n"/>
      <c r="J94" s="43" t="n"/>
      <c r="K94" s="44" t="n"/>
    </row>
    <row r="95" ht="14" customHeight="1">
      <c r="A95" s="4" t="n"/>
      <c r="B95" s="5" t="inlineStr">
        <is>
          <t>▶ ＠手形小切手</t>
        </is>
      </c>
      <c r="C95" s="6">
        <f>SUM(C96:C110)</f>
        <v/>
      </c>
      <c r="D95" s="6">
        <f>SUM(D96:D110)</f>
        <v/>
      </c>
      <c r="E95" s="6">
        <f>SUM(E96:E110)</f>
        <v/>
      </c>
      <c r="F95" s="6">
        <f>SUM(F96:F110)</f>
        <v/>
      </c>
      <c r="G95" s="6">
        <f>SUM(G96:G110)</f>
        <v/>
      </c>
      <c r="H95" s="6">
        <f>SUM(H96:H110)</f>
        <v/>
      </c>
      <c r="I95" s="7">
        <f>SUM(I96:I110)</f>
        <v/>
      </c>
      <c r="J95" s="39">
        <f>SUM(J96:J110)</f>
        <v/>
      </c>
      <c r="K95" s="40">
        <f>SUM(K96:K110)</f>
        <v/>
      </c>
    </row>
    <row r="96" ht="13" customHeight="1">
      <c r="A96" s="8" t="inlineStr">
        <is>
          <t>20</t>
        </is>
      </c>
      <c r="B96" s="8" t="inlineStr">
        <is>
          <t xml:space="preserve">  機械代　小切手(初回分）　フジコム</t>
        </is>
      </c>
      <c r="C96" s="9" t="n">
        <v>51370</v>
      </c>
      <c r="D96" s="9" t="n"/>
      <c r="E96" s="9" t="n"/>
      <c r="F96" s="9" t="n"/>
      <c r="G96" s="9" t="n"/>
      <c r="H96" s="9" t="n"/>
      <c r="I96" s="10">
        <f>SUM(C96:H96)</f>
        <v/>
      </c>
      <c r="J96" s="41">
        <f>'AMUSE JAPAN_上期_7-12月'!I103</f>
        <v/>
      </c>
      <c r="K96" s="42">
        <f>I96+J96</f>
        <v/>
      </c>
    </row>
    <row r="97" ht="13" customHeight="1">
      <c r="A97" s="8" t="inlineStr">
        <is>
          <t>末</t>
        </is>
      </c>
      <c r="B97" s="8" t="inlineStr">
        <is>
          <t xml:space="preserve">  機械代　小切手(初回分）</t>
        </is>
      </c>
      <c r="C97" s="9" t="n">
        <v>8580</v>
      </c>
      <c r="D97" s="9" t="n"/>
      <c r="E97" s="9" t="n">
        <v>580800</v>
      </c>
      <c r="F97" s="9" t="n">
        <v>456280</v>
      </c>
      <c r="G97" s="9" t="n"/>
      <c r="H97" s="9" t="n"/>
      <c r="I97" s="10">
        <f>SUM(C97:H97)</f>
        <v/>
      </c>
      <c r="J97" s="41">
        <f>'AMUSE JAPAN_上期_7-12月'!I104</f>
        <v/>
      </c>
      <c r="K97" s="42">
        <f>I97+J97</f>
        <v/>
      </c>
    </row>
    <row r="98" ht="13" customHeight="1">
      <c r="A98" s="8" t="inlineStr">
        <is>
          <t>末</t>
        </is>
      </c>
      <c r="B98" s="8" t="inlineStr">
        <is>
          <t xml:space="preserve">  機械代　ＹＳＫ　中古</t>
        </is>
      </c>
      <c r="C98" s="9" t="n">
        <v>199980</v>
      </c>
      <c r="D98" s="9" t="n">
        <v>132825</v>
      </c>
      <c r="E98" s="9" t="n"/>
      <c r="F98" s="9" t="n"/>
      <c r="G98" s="9" t="n"/>
      <c r="H98" s="9" t="n"/>
      <c r="I98" s="10">
        <f>SUM(C98:H98)</f>
        <v/>
      </c>
      <c r="J98" s="41">
        <f>'AMUSE JAPAN_上期_7-12月'!I105</f>
        <v/>
      </c>
      <c r="K98" s="42">
        <f>I98+J98</f>
        <v/>
      </c>
    </row>
    <row r="99" ht="13" customHeight="1">
      <c r="A99" s="8" t="inlineStr"/>
      <c r="B99" s="8" t="inlineStr">
        <is>
          <t xml:space="preserve">  ＹＳＫ 　R7.8月分（7回〜8回）</t>
        </is>
      </c>
      <c r="C99" s="14" t="n"/>
      <c r="D99" s="14" t="n"/>
      <c r="E99" s="14" t="n"/>
      <c r="F99" s="14" t="n">
        <v>144750</v>
      </c>
      <c r="G99" s="14" t="n">
        <v>144750</v>
      </c>
      <c r="H99" s="14" t="n"/>
      <c r="I99" s="10">
        <f>SUM(C99:H99)</f>
        <v/>
      </c>
      <c r="J99" s="41" t="n"/>
      <c r="K99" s="42">
        <f>I99+J99</f>
        <v/>
      </c>
    </row>
    <row r="100" ht="13" customHeight="1">
      <c r="A100" s="8" t="inlineStr"/>
      <c r="B100" s="8" t="inlineStr">
        <is>
          <t xml:space="preserve">  ＹＳＫ 　R7.9月分（2回〜6回）</t>
        </is>
      </c>
      <c r="C100" s="14" t="n">
        <v>144750</v>
      </c>
      <c r="D100" s="14" t="n">
        <v>144750</v>
      </c>
      <c r="E100" s="14" t="n">
        <v>144750</v>
      </c>
      <c r="F100" s="14" t="n"/>
      <c r="G100" s="14" t="n"/>
      <c r="H100" s="14" t="n"/>
      <c r="I100" s="10">
        <f>SUM(C100:H100)</f>
        <v/>
      </c>
      <c r="J100" s="41">
        <f>'AMUSE JAPAN_上期_7-12月'!I115</f>
        <v/>
      </c>
      <c r="K100" s="42">
        <f>I100+J100</f>
        <v/>
      </c>
    </row>
    <row r="101" ht="13" customHeight="1">
      <c r="A101" s="8" t="inlineStr"/>
      <c r="B101" s="8" t="inlineStr">
        <is>
          <t xml:space="preserve">  ＹＳＫ 　R7.10月分（1回〜6回）</t>
        </is>
      </c>
      <c r="C101" s="14" t="n">
        <v>330000</v>
      </c>
      <c r="D101" s="14" t="n">
        <v>330000</v>
      </c>
      <c r="E101" s="14" t="n">
        <v>330000</v>
      </c>
      <c r="F101" s="14" t="n">
        <v>330000</v>
      </c>
      <c r="G101" s="14" t="n">
        <v>330000</v>
      </c>
      <c r="H101" s="14" t="n"/>
      <c r="I101" s="10">
        <f>SUM(C101:H101)</f>
        <v/>
      </c>
      <c r="J101" s="41" t="n"/>
      <c r="K101" s="42">
        <f>I101+J101</f>
        <v/>
      </c>
    </row>
    <row r="102" ht="13" customHeight="1">
      <c r="A102" s="8" t="inlineStr"/>
      <c r="B102" s="8" t="inlineStr">
        <is>
          <t xml:space="preserve">  ＹＳＫ 　R7.12月分（1回〜5回）</t>
        </is>
      </c>
      <c r="C102" s="14" t="n"/>
      <c r="D102" s="14" t="n">
        <v>198000</v>
      </c>
      <c r="E102" s="14" t="n">
        <v>198000</v>
      </c>
      <c r="F102" s="14" t="n">
        <v>198000</v>
      </c>
      <c r="G102" s="14" t="n">
        <v>198000</v>
      </c>
      <c r="H102" s="14" t="n"/>
      <c r="I102" s="10">
        <f>SUM(C102:H102)</f>
        <v/>
      </c>
      <c r="J102" s="41" t="n"/>
      <c r="K102" s="42">
        <f>I102+J102</f>
        <v/>
      </c>
    </row>
    <row r="103" ht="13" customHeight="1">
      <c r="A103" s="8" t="inlineStr"/>
      <c r="B103" s="8" t="inlineStr">
        <is>
          <t xml:space="preserve">  ＹＳＫ 　R8.1月分（2回〜4回）</t>
        </is>
      </c>
      <c r="C103" s="14" t="n"/>
      <c r="D103" s="14" t="n"/>
      <c r="E103" s="14" t="n">
        <v>132825</v>
      </c>
      <c r="F103" s="14" t="n">
        <v>132825</v>
      </c>
      <c r="G103" s="14" t="n">
        <v>132825</v>
      </c>
      <c r="H103" s="14" t="n"/>
      <c r="I103" s="10">
        <f>SUM(C103:H103)</f>
        <v/>
      </c>
      <c r="J103" s="41" t="n"/>
      <c r="K103" s="42">
        <f>I103+J103</f>
        <v/>
      </c>
    </row>
    <row r="104" ht="13" customHeight="1">
      <c r="A104" s="8" t="inlineStr">
        <is>
          <t>31</t>
        </is>
      </c>
      <c r="B104" s="8" t="inlineStr">
        <is>
          <t xml:space="preserve">  ＹＳＫ 　まとめ分（2回〜6回）</t>
        </is>
      </c>
      <c r="C104" s="14" t="n">
        <v>481500</v>
      </c>
      <c r="D104" s="14" t="n">
        <v>481500</v>
      </c>
      <c r="E104" s="14" t="n">
        <v>481500</v>
      </c>
      <c r="F104" s="14" t="n">
        <v>481500</v>
      </c>
      <c r="G104" s="14" t="n">
        <v>481500</v>
      </c>
      <c r="H104" s="14" t="n"/>
      <c r="I104" s="10">
        <f>SUM(C104:H104)</f>
        <v/>
      </c>
      <c r="J104" s="41">
        <f>'AMUSE JAPAN_上期_7-12月'!I116</f>
        <v/>
      </c>
      <c r="K104" s="42">
        <f>I104+J104</f>
        <v/>
      </c>
    </row>
    <row r="105" ht="13" customHeight="1">
      <c r="A105" s="8" t="inlineStr">
        <is>
          <t>末</t>
        </is>
      </c>
      <c r="B105" s="8" t="inlineStr">
        <is>
          <t xml:space="preserve">  設備　その他　小切手</t>
        </is>
      </c>
      <c r="C105" s="9" t="n">
        <v>330000</v>
      </c>
      <c r="D105" s="9" t="n">
        <v>354200</v>
      </c>
      <c r="E105" s="9" t="n">
        <v>34540</v>
      </c>
      <c r="F105" s="9" t="n">
        <v>33132</v>
      </c>
      <c r="G105" s="9" t="n"/>
      <c r="H105" s="9" t="n"/>
      <c r="I105" s="10">
        <f>SUM(C105:H105)</f>
        <v/>
      </c>
      <c r="J105" s="41">
        <f>'AMUSE JAPAN_上期_7-12月'!I117</f>
        <v/>
      </c>
      <c r="K105" s="42">
        <f>I105+J105</f>
        <v/>
      </c>
    </row>
    <row r="106" ht="13" customHeight="1">
      <c r="A106" s="8" t="inlineStr">
        <is>
          <t>末</t>
        </is>
      </c>
      <c r="B106" s="8" t="inlineStr">
        <is>
          <t xml:space="preserve">  書類代　ラック　中古</t>
        </is>
      </c>
      <c r="C106" s="9" t="n">
        <v>287100</v>
      </c>
      <c r="D106" s="9" t="n">
        <v>137610</v>
      </c>
      <c r="E106" s="9" t="n">
        <v>97900</v>
      </c>
      <c r="F106" s="9" t="n">
        <v>124520</v>
      </c>
      <c r="G106" s="9" t="n"/>
      <c r="H106" s="9" t="n"/>
      <c r="I106" s="10">
        <f>SUM(C106:H106)</f>
        <v/>
      </c>
      <c r="J106" s="41">
        <f>'AMUSE JAPAN_上期_7-12月'!I102</f>
        <v/>
      </c>
      <c r="K106" s="42">
        <f>I106+J106</f>
        <v/>
      </c>
    </row>
    <row r="107" ht="13" customHeight="1">
      <c r="A107" s="8" t="inlineStr"/>
      <c r="B107" s="8" t="inlineStr">
        <is>
          <t xml:space="preserve">  ユニバーサル（2回）</t>
        </is>
      </c>
      <c r="C107" s="9" t="n">
        <v>190500</v>
      </c>
      <c r="D107" s="9" t="n"/>
      <c r="E107" s="9" t="n"/>
      <c r="F107" s="9" t="n"/>
      <c r="G107" s="9" t="n"/>
      <c r="H107" s="9" t="n"/>
      <c r="I107" s="10">
        <f>SUM(C107:H107)</f>
        <v/>
      </c>
      <c r="J107" s="41">
        <f>'AMUSE JAPAN_上期_7-12月'!I120</f>
        <v/>
      </c>
      <c r="K107" s="42">
        <f>I107+J107</f>
        <v/>
      </c>
    </row>
    <row r="108" ht="13" customHeight="1">
      <c r="A108" s="8" t="inlineStr">
        <is>
          <t>20</t>
        </is>
      </c>
      <c r="B108" s="8" t="inlineStr">
        <is>
          <t xml:space="preserve">  設備　小切手　(初回分）フジコム</t>
        </is>
      </c>
      <c r="C108" s="9" t="n"/>
      <c r="D108" s="9" t="n"/>
      <c r="E108" s="9" t="n"/>
      <c r="F108" s="9" t="n"/>
      <c r="G108" s="9" t="n"/>
      <c r="H108" s="9" t="n"/>
      <c r="I108" s="10">
        <f>SUM(C108:H108)</f>
        <v/>
      </c>
      <c r="J108" s="41">
        <f>'AMUSE JAPAN_上期_7-12月'!I118</f>
        <v/>
      </c>
      <c r="K108" s="42">
        <f>I108+J108</f>
        <v/>
      </c>
    </row>
    <row r="109" ht="13" customHeight="1">
      <c r="A109" s="8" t="inlineStr"/>
      <c r="B109" s="8" t="inlineStr">
        <is>
          <t xml:space="preserve">  （手形＆でんさい　支払い　合算）</t>
        </is>
      </c>
      <c r="C109" s="9" t="n"/>
      <c r="D109" s="9" t="n"/>
      <c r="E109" s="9" t="n"/>
      <c r="F109" s="9" t="n"/>
      <c r="G109" s="9" t="n"/>
      <c r="H109" s="9" t="n"/>
      <c r="I109" s="10">
        <f>SUM(C109:H109)</f>
        <v/>
      </c>
      <c r="J109" s="41" t="n"/>
      <c r="K109" s="42">
        <f>I109+J109</f>
        <v/>
      </c>
    </row>
    <row r="110" ht="12" customHeight="1">
      <c r="A110" s="11" t="n"/>
      <c r="B110" s="11" t="n"/>
      <c r="C110" s="12" t="n"/>
      <c r="D110" s="12" t="n"/>
      <c r="E110" s="12" t="n"/>
      <c r="F110" s="12" t="n"/>
      <c r="G110" s="12" t="n"/>
      <c r="H110" s="12" t="n"/>
      <c r="I110" s="13" t="n"/>
      <c r="J110" s="43" t="n"/>
      <c r="K110" s="44" t="n"/>
    </row>
    <row r="111" ht="14" customHeight="1">
      <c r="A111" s="4" t="n"/>
      <c r="B111" s="5" t="inlineStr">
        <is>
          <t>▶ 地代家賃</t>
        </is>
      </c>
      <c r="C111" s="6">
        <f>SUM(C112:C114)</f>
        <v/>
      </c>
      <c r="D111" s="6">
        <f>SUM(D112:D114)</f>
        <v/>
      </c>
      <c r="E111" s="6">
        <f>SUM(E112:E114)</f>
        <v/>
      </c>
      <c r="F111" s="6">
        <f>SUM(F112:F114)</f>
        <v/>
      </c>
      <c r="G111" s="6">
        <f>SUM(G112:G114)</f>
        <v/>
      </c>
      <c r="H111" s="6">
        <f>SUM(H112:H114)</f>
        <v/>
      </c>
      <c r="I111" s="7">
        <f>SUM(I112:I114)</f>
        <v/>
      </c>
      <c r="J111" s="39">
        <f>SUM(J112:J114)</f>
        <v/>
      </c>
      <c r="K111" s="40">
        <f>SUM(K112:K114)</f>
        <v/>
      </c>
    </row>
    <row r="112" ht="13" customHeight="1">
      <c r="A112" s="8" t="inlineStr"/>
      <c r="B112" s="8" t="inlineStr">
        <is>
          <t xml:space="preserve">  地代家賃</t>
        </is>
      </c>
      <c r="C112" s="9" t="n">
        <v>5134606</v>
      </c>
      <c r="D112" s="9" t="n">
        <v>5134606</v>
      </c>
      <c r="E112" s="9" t="n">
        <v>5134606</v>
      </c>
      <c r="F112" s="9" t="n">
        <v>5300000</v>
      </c>
      <c r="G112" s="9" t="n">
        <v>5300000</v>
      </c>
      <c r="H112" s="9" t="n"/>
      <c r="I112" s="10">
        <f>SUM(C112:H112)</f>
        <v/>
      </c>
      <c r="J112" s="41">
        <f>'AMUSE JAPAN_上期_7-12月'!I127</f>
        <v/>
      </c>
      <c r="K112" s="42">
        <f>I112+J112</f>
        <v/>
      </c>
    </row>
    <row r="113" ht="13" customHeight="1">
      <c r="A113" s="8" t="inlineStr"/>
      <c r="B113" s="8" t="inlineStr">
        <is>
          <t xml:space="preserve">  未払い家賃</t>
        </is>
      </c>
      <c r="C113" s="9" t="n"/>
      <c r="D113" s="9" t="n"/>
      <c r="E113" s="9" t="n"/>
      <c r="F113" s="9" t="n"/>
      <c r="G113" s="9" t="n"/>
      <c r="H113" s="9" t="n"/>
      <c r="I113" s="10">
        <f>SUM(C113:H113)</f>
        <v/>
      </c>
      <c r="J113" s="41">
        <f>'AMUSE JAPAN_上期_7-12月'!I128</f>
        <v/>
      </c>
      <c r="K113" s="42">
        <f>I113+J113</f>
        <v/>
      </c>
    </row>
    <row r="114" ht="12" customHeight="1">
      <c r="A114" s="11" t="n"/>
      <c r="B114" s="11" t="n"/>
      <c r="C114" s="12" t="n"/>
      <c r="D114" s="12" t="n"/>
      <c r="E114" s="12" t="n"/>
      <c r="F114" s="12" t="n"/>
      <c r="G114" s="12" t="n"/>
      <c r="H114" s="12" t="n"/>
      <c r="I114" s="13" t="n"/>
      <c r="J114" s="43" t="n"/>
      <c r="K114" s="44" t="n"/>
    </row>
    <row r="115" ht="15" customHeight="1">
      <c r="A115" s="15" t="n"/>
      <c r="B115" s="16" t="inlineStr">
        <is>
          <t>① 支出合計</t>
        </is>
      </c>
      <c r="C115" s="17">
        <f>C4+C9+C15+C22+C45+C49+C53+C60+C64+C76+C84+C87+C95+C111</f>
        <v/>
      </c>
      <c r="D115" s="17">
        <f>D4+D9+D15+D22+D45+D49+D53+D60+D64+D76+D84+D87+D95+D111</f>
        <v/>
      </c>
      <c r="E115" s="17">
        <f>E4+E9+E15+E22+E45+E49+E53+E60+E64+E76+E84+E87+E95+E111</f>
        <v/>
      </c>
      <c r="F115" s="17">
        <f>F4+F9+F15+F22+F45+F49+F53+F60+F64+F76+F84+F87+F95+F111</f>
        <v/>
      </c>
      <c r="G115" s="17">
        <f>G4+G9+G15+G22+G45+G49+G53+G60+G64+G76+G84+G87+G95+G111</f>
        <v/>
      </c>
      <c r="H115" s="17">
        <f>H4+H9+H15+H22+H45+H49+H53+H60+H64+H76+H84+H87+H95+H111</f>
        <v/>
      </c>
      <c r="I115" s="7">
        <f>I4+I9+I15+I22+I45+I49+I53+I60+I64+I76+I84+I87+I95+I111</f>
        <v/>
      </c>
      <c r="J115" s="39">
        <f>J4+J9+J15+J22+J45+J49+J53+J60+J64+J76+J84+J87+J95+J111</f>
        <v/>
      </c>
      <c r="K115" s="40">
        <f>K4+K9+K15+K22+K45+K49+K53+K60+K64+K76+K84+K87+K95+K111</f>
        <v/>
      </c>
    </row>
    <row r="117" ht="16" customHeight="1">
      <c r="A117" s="18" t="inlineStr">
        <is>
          <t>【 ② 収　入（売上・粗利・雑収入など） 】</t>
        </is>
      </c>
    </row>
    <row r="118" ht="14" customHeight="1">
      <c r="A118" s="19" t="n"/>
      <c r="B118" s="20" t="inlineStr">
        <is>
          <t>▶ 【収支サマリー】</t>
        </is>
      </c>
      <c r="C118" s="21">
        <f>SUM(C119:C124)</f>
        <v/>
      </c>
      <c r="D118" s="21">
        <f>SUM(D119:D124)</f>
        <v/>
      </c>
      <c r="E118" s="21">
        <f>SUM(E119:E124)</f>
        <v/>
      </c>
      <c r="F118" s="21">
        <f>SUM(F119:F124)</f>
        <v/>
      </c>
      <c r="G118" s="21">
        <f>SUM(G119:G124)</f>
        <v/>
      </c>
      <c r="H118" s="21">
        <f>SUM(H119:H124)</f>
        <v/>
      </c>
      <c r="I118" s="7">
        <f>SUM(I119:I124)</f>
        <v/>
      </c>
      <c r="J118" s="39">
        <f>SUM(J119:J124)</f>
        <v/>
      </c>
      <c r="K118" s="40">
        <f>SUM(K119:K124)</f>
        <v/>
      </c>
    </row>
    <row r="119" ht="13" customHeight="1">
      <c r="A119" s="22" t="inlineStr"/>
      <c r="B119" s="22" t="inlineStr">
        <is>
          <t xml:space="preserve">  粗利益（Ｃ）</t>
        </is>
      </c>
      <c r="C119" s="23" t="n">
        <v>23631200</v>
      </c>
      <c r="D119" s="23" t="n">
        <v>19911400</v>
      </c>
      <c r="E119" s="23" t="n">
        <v>24724100</v>
      </c>
      <c r="F119" s="23" t="n">
        <v>21000000</v>
      </c>
      <c r="G119" s="23" t="n">
        <v>21000000</v>
      </c>
      <c r="H119" s="23" t="n"/>
      <c r="I119" s="10">
        <f>SUM(C119:H119)</f>
        <v/>
      </c>
      <c r="J119" s="41">
        <f>'AMUSE JAPAN_上期_7-12月'!I134</f>
        <v/>
      </c>
      <c r="K119" s="42">
        <f>I119+J119</f>
        <v/>
      </c>
    </row>
    <row r="120" ht="13" customHeight="1">
      <c r="A120" s="22" t="inlineStr"/>
      <c r="B120" s="22" t="inlineStr">
        <is>
          <t xml:space="preserve">  雑収入（岐阜福祉）</t>
        </is>
      </c>
      <c r="C120" s="24" t="n">
        <v>22000</v>
      </c>
      <c r="D120" s="24" t="n">
        <v>22000</v>
      </c>
      <c r="E120" s="24" t="n">
        <v>22000</v>
      </c>
      <c r="F120" s="24" t="n">
        <v>22000</v>
      </c>
      <c r="G120" s="24" t="n">
        <v>22000</v>
      </c>
      <c r="H120" s="24" t="n"/>
      <c r="I120" s="10">
        <f>SUM(C120:H120)</f>
        <v/>
      </c>
      <c r="J120" s="41">
        <f>'AMUSE JAPAN_上期_7-12月'!I135</f>
        <v/>
      </c>
      <c r="K120" s="42">
        <f>I120+J120</f>
        <v/>
      </c>
    </row>
    <row r="121" ht="13" customHeight="1">
      <c r="A121" s="22" t="inlineStr"/>
      <c r="B121" s="22" t="inlineStr">
        <is>
          <t xml:space="preserve">  雑収入（ウェルピア出向費）</t>
        </is>
      </c>
      <c r="C121" s="24" t="n">
        <v>110000</v>
      </c>
      <c r="D121" s="24" t="n">
        <v>110000</v>
      </c>
      <c r="E121" s="24" t="n">
        <v>110000</v>
      </c>
      <c r="F121" s="24" t="n">
        <v>110000</v>
      </c>
      <c r="G121" s="24" t="n">
        <v>110000</v>
      </c>
      <c r="H121" s="24" t="n"/>
      <c r="I121" s="10">
        <f>SUM(C121:H121)</f>
        <v/>
      </c>
      <c r="J121" s="41">
        <f>'AMUSE JAPAN_上期_7-12月'!I136</f>
        <v/>
      </c>
      <c r="K121" s="42">
        <f>I121+J121</f>
        <v/>
      </c>
    </row>
    <row r="122" ht="13" customHeight="1">
      <c r="A122" s="22" t="inlineStr"/>
      <c r="B122" s="22" t="inlineStr">
        <is>
          <t xml:space="preserve">  雑収入（台　売却）</t>
        </is>
      </c>
      <c r="C122" s="23" t="n">
        <v>858000</v>
      </c>
      <c r="D122" s="23" t="n">
        <v>3968000</v>
      </c>
      <c r="E122" s="23" t="n"/>
      <c r="F122" s="23" t="n"/>
      <c r="G122" s="23" t="n"/>
      <c r="H122" s="23" t="n"/>
      <c r="I122" s="10">
        <f>SUM(C122:H122)</f>
        <v/>
      </c>
      <c r="J122" s="41">
        <f>'AMUSE JAPAN_上期_7-12月'!I137</f>
        <v/>
      </c>
      <c r="K122" s="42">
        <f>I122+J122</f>
        <v/>
      </c>
    </row>
    <row r="123" ht="13" customHeight="1">
      <c r="A123" s="22" t="inlineStr"/>
      <c r="B123" s="22" t="inlineStr">
        <is>
          <t xml:space="preserve">  雑収入（その他）</t>
        </is>
      </c>
      <c r="C123" s="23" t="n"/>
      <c r="D123" s="23" t="n">
        <v>585200</v>
      </c>
      <c r="E123" s="23" t="n"/>
      <c r="F123" s="23" t="n"/>
      <c r="G123" s="23" t="n"/>
      <c r="H123" s="23" t="n"/>
      <c r="I123" s="10">
        <f>SUM(C123:H123)</f>
        <v/>
      </c>
      <c r="J123" s="41">
        <f>'AMUSE JAPAN_上期_7-12月'!I138</f>
        <v/>
      </c>
      <c r="K123" s="42">
        <f>I123+J123</f>
        <v/>
      </c>
    </row>
    <row r="124" ht="12" customHeight="1">
      <c r="A124" s="25" t="n"/>
      <c r="B124" s="25" t="n"/>
      <c r="C124" s="26" t="n"/>
      <c r="D124" s="26" t="n"/>
      <c r="E124" s="26" t="n"/>
      <c r="F124" s="26" t="n"/>
      <c r="G124" s="26" t="n"/>
      <c r="H124" s="26" t="n"/>
      <c r="I124" s="13" t="n"/>
      <c r="J124" s="43" t="n"/>
      <c r="K124" s="44" t="n"/>
    </row>
    <row r="125" ht="15" customHeight="1">
      <c r="A125" s="27" t="n"/>
      <c r="B125" s="28" t="inlineStr">
        <is>
          <t>② 収入合計</t>
        </is>
      </c>
      <c r="C125" s="29">
        <f>C118</f>
        <v/>
      </c>
      <c r="D125" s="29">
        <f>D118</f>
        <v/>
      </c>
      <c r="E125" s="29">
        <f>E118</f>
        <v/>
      </c>
      <c r="F125" s="29">
        <f>F118</f>
        <v/>
      </c>
      <c r="G125" s="29">
        <f>G118</f>
        <v/>
      </c>
      <c r="H125" s="29">
        <f>H118</f>
        <v/>
      </c>
      <c r="I125" s="7">
        <f>I118</f>
        <v/>
      </c>
      <c r="J125" s="39">
        <f>J118</f>
        <v/>
      </c>
      <c r="K125" s="40">
        <f>K118</f>
        <v/>
      </c>
    </row>
    <row r="127" ht="22" customHeight="1">
      <c r="A127" s="30" t="n"/>
      <c r="B127" s="31" t="inlineStr">
        <is>
          <t>① 経　費</t>
        </is>
      </c>
      <c r="C127" s="32">
        <f>C115</f>
        <v/>
      </c>
      <c r="D127" s="32">
        <f>D115</f>
        <v/>
      </c>
      <c r="E127" s="32">
        <f>E115</f>
        <v/>
      </c>
      <c r="F127" s="32">
        <f>F115</f>
        <v/>
      </c>
      <c r="G127" s="32">
        <f>G115</f>
        <v/>
      </c>
      <c r="H127" s="32">
        <f>H115</f>
        <v/>
      </c>
      <c r="I127" s="32">
        <f>I115</f>
        <v/>
      </c>
      <c r="J127" s="32">
        <f>J115</f>
        <v/>
      </c>
      <c r="K127" s="32">
        <f>K115</f>
        <v/>
      </c>
    </row>
    <row r="128" ht="22" customHeight="1">
      <c r="A128" s="33" t="n"/>
      <c r="B128" s="34" t="inlineStr">
        <is>
          <t>② 収　入</t>
        </is>
      </c>
      <c r="C128" s="35">
        <f>C125</f>
        <v/>
      </c>
      <c r="D128" s="35">
        <f>D125</f>
        <v/>
      </c>
      <c r="E128" s="35">
        <f>E125</f>
        <v/>
      </c>
      <c r="F128" s="35">
        <f>F125</f>
        <v/>
      </c>
      <c r="G128" s="35">
        <f>G125</f>
        <v/>
      </c>
      <c r="H128" s="35">
        <f>H125</f>
        <v/>
      </c>
      <c r="I128" s="35">
        <f>I125</f>
        <v/>
      </c>
      <c r="J128" s="35">
        <f>J125</f>
        <v/>
      </c>
      <c r="K128" s="35">
        <f>K125</f>
        <v/>
      </c>
    </row>
    <row r="129" ht="22" customHeight="1">
      <c r="A129" s="36" t="n"/>
      <c r="B129" s="37" t="inlineStr">
        <is>
          <t>③ 収　支  ②－①</t>
        </is>
      </c>
      <c r="C129" s="38">
        <f>C125-C115</f>
        <v/>
      </c>
      <c r="D129" s="38">
        <f>D125-D115</f>
        <v/>
      </c>
      <c r="E129" s="38">
        <f>E125-E115</f>
        <v/>
      </c>
      <c r="F129" s="38">
        <f>F125-F115</f>
        <v/>
      </c>
      <c r="G129" s="38">
        <f>G125-G115</f>
        <v/>
      </c>
      <c r="H129" s="38">
        <f>H125-H115</f>
        <v/>
      </c>
      <c r="I129" s="38">
        <f>I125-I115</f>
        <v/>
      </c>
      <c r="J129" s="38">
        <f>J125-J115</f>
        <v/>
      </c>
      <c r="K129" s="38">
        <f>K125-K115</f>
        <v/>
      </c>
    </row>
  </sheetData>
  <mergeCells count="3">
    <mergeCell ref="A1:K1"/>
    <mergeCell ref="A117:K117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I95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② ウェルピア羽島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　福利</t>
        </is>
      </c>
      <c r="C4" s="6">
        <f>SUM(C5:C14)</f>
        <v/>
      </c>
      <c r="D4" s="6">
        <f>SUM(D5:D14)</f>
        <v/>
      </c>
      <c r="E4" s="6">
        <f>SUM(E5:E14)</f>
        <v/>
      </c>
      <c r="F4" s="6">
        <f>SUM(F5:F14)</f>
        <v/>
      </c>
      <c r="G4" s="6">
        <f>SUM(G5:G14)</f>
        <v/>
      </c>
      <c r="H4" s="6">
        <f>SUM(H5:H14)</f>
        <v/>
      </c>
      <c r="I4" s="7">
        <f>SUM(I5:I14)</f>
        <v/>
      </c>
    </row>
    <row r="5" ht="13" customHeight="1">
      <c r="A5" s="8" t="inlineStr">
        <is>
          <t>20</t>
        </is>
      </c>
      <c r="B5" s="8" t="inlineStr">
        <is>
          <t xml:space="preserve">  給与</t>
        </is>
      </c>
      <c r="C5" s="9" t="n">
        <v>5376728</v>
      </c>
      <c r="D5" s="9" t="n">
        <v>5644326</v>
      </c>
      <c r="E5" s="9" t="n">
        <v>5342290</v>
      </c>
      <c r="F5" s="9" t="n">
        <v>5234857</v>
      </c>
      <c r="G5" s="9" t="n">
        <v>5574689</v>
      </c>
      <c r="H5" s="9" t="n">
        <v>5591647</v>
      </c>
      <c r="I5" s="10">
        <f>SUM(C5:H5)</f>
        <v/>
      </c>
    </row>
    <row r="6" ht="13" customHeight="1">
      <c r="A6" s="8" t="inlineStr"/>
      <c r="B6" s="8" t="inlineStr">
        <is>
          <t xml:space="preserve">  役員報酬</t>
        </is>
      </c>
      <c r="C6" s="9" t="n">
        <v>1838257</v>
      </c>
      <c r="D6" s="9" t="n">
        <v>1838257</v>
      </c>
      <c r="E6" s="9" t="n">
        <v>1838257</v>
      </c>
      <c r="F6" s="9" t="n">
        <v>1838257</v>
      </c>
      <c r="G6" s="9" t="n">
        <v>1838257</v>
      </c>
      <c r="H6" s="9" t="n">
        <v>2427003</v>
      </c>
      <c r="I6" s="10">
        <f>SUM(C6:H6)</f>
        <v/>
      </c>
    </row>
    <row r="7" ht="13" customHeight="1">
      <c r="A7" s="8" t="inlineStr">
        <is>
          <t>31</t>
        </is>
      </c>
      <c r="B7" s="8" t="inlineStr">
        <is>
          <t xml:space="preserve">  社員社保料（会社負担分）</t>
        </is>
      </c>
      <c r="C7" s="9" t="n">
        <v>247925</v>
      </c>
      <c r="D7" s="9" t="n">
        <v>249450</v>
      </c>
      <c r="E7" s="9" t="n">
        <v>253738</v>
      </c>
      <c r="F7" s="9" t="n">
        <v>261255</v>
      </c>
      <c r="G7" s="9" t="n">
        <v>262357</v>
      </c>
      <c r="H7" s="9" t="n">
        <v>262879</v>
      </c>
      <c r="I7" s="10">
        <f>SUM(C7:H7)</f>
        <v/>
      </c>
    </row>
    <row r="8" ht="13" customHeight="1">
      <c r="A8" s="8" t="inlineStr"/>
      <c r="B8" s="8" t="inlineStr">
        <is>
          <t xml:space="preserve">  役員社保料（会社負担分）</t>
        </is>
      </c>
      <c r="C8" s="9" t="n">
        <v>190483</v>
      </c>
      <c r="D8" s="9" t="n">
        <v>190483</v>
      </c>
      <c r="E8" s="9" t="n">
        <v>194514</v>
      </c>
      <c r="F8" s="9" t="n">
        <v>194514</v>
      </c>
      <c r="G8" s="9" t="n">
        <v>194514</v>
      </c>
      <c r="H8" s="9" t="n">
        <v>439197</v>
      </c>
      <c r="I8" s="10">
        <f>SUM(C8:H8)</f>
        <v/>
      </c>
    </row>
    <row r="9" ht="13" customHeight="1">
      <c r="A9" s="8" t="inlineStr"/>
      <c r="B9" s="8" t="inlineStr">
        <is>
          <t xml:space="preserve">  大日出向費 事務費10万</t>
        </is>
      </c>
      <c r="C9" s="9" t="n">
        <v>193323</v>
      </c>
      <c r="D9" s="9" t="n">
        <v>197767</v>
      </c>
      <c r="E9" s="9" t="n">
        <v>184554</v>
      </c>
      <c r="F9" s="9" t="n">
        <v>232835</v>
      </c>
      <c r="G9" s="9" t="n">
        <v>408247</v>
      </c>
      <c r="H9" s="9" t="n">
        <v>385658</v>
      </c>
      <c r="I9" s="10">
        <f>SUM(C9:H9)</f>
        <v/>
      </c>
    </row>
    <row r="10" ht="13" customHeight="1">
      <c r="A10" s="8" t="inlineStr"/>
      <c r="B10" s="8" t="inlineStr">
        <is>
          <t xml:space="preserve">  寿食品　出前弁当（給与から控除）</t>
        </is>
      </c>
      <c r="C10" s="9" t="n">
        <v>33534</v>
      </c>
      <c r="D10" s="9" t="n">
        <v>36018</v>
      </c>
      <c r="E10" s="9" t="n">
        <v>38502</v>
      </c>
      <c r="F10" s="9" t="n">
        <v>37881</v>
      </c>
      <c r="G10" s="9" t="n">
        <v>40365</v>
      </c>
      <c r="H10" s="9" t="n">
        <v>37260</v>
      </c>
      <c r="I10" s="10">
        <f>SUM(C10:H10)</f>
        <v/>
      </c>
    </row>
    <row r="11" ht="13" customHeight="1">
      <c r="A11" s="8" t="inlineStr">
        <is>
          <t>10</t>
        </is>
      </c>
      <c r="B11" s="8" t="inlineStr">
        <is>
          <t xml:space="preserve">  IP　ラウンジ使用料</t>
        </is>
      </c>
      <c r="C11" s="14" t="n">
        <v>52800</v>
      </c>
      <c r="D11" s="14" t="n">
        <v>52800</v>
      </c>
      <c r="E11" s="14" t="n"/>
      <c r="F11" s="14" t="n">
        <v>52800</v>
      </c>
      <c r="G11" s="14" t="n">
        <v>52800</v>
      </c>
      <c r="H11" s="14" t="n">
        <v>52800</v>
      </c>
      <c r="I11" s="10">
        <f>SUM(C11:H11)</f>
        <v/>
      </c>
    </row>
    <row r="12" ht="13" customHeight="1">
      <c r="A12" s="8" t="inlineStr"/>
      <c r="B12" s="8" t="inlineStr">
        <is>
          <t xml:space="preserve">  労働保険料（9.11.2.）</t>
        </is>
      </c>
      <c r="C12" s="9" t="n"/>
      <c r="D12" s="9" t="n"/>
      <c r="E12" s="9" t="n">
        <v>574090</v>
      </c>
      <c r="F12" s="9" t="n"/>
      <c r="G12" s="9" t="n">
        <v>385713</v>
      </c>
      <c r="H12" s="9" t="n"/>
      <c r="I12" s="10">
        <f>SUM(C12:H12)</f>
        <v/>
      </c>
    </row>
    <row r="13" ht="13" customHeight="1">
      <c r="A13" s="8" t="inlineStr">
        <is>
          <t>30</t>
        </is>
      </c>
      <c r="B13" s="8" t="inlineStr">
        <is>
          <t xml:space="preserve">  業務改善手当</t>
        </is>
      </c>
      <c r="C13" s="9" t="n"/>
      <c r="D13" s="9" t="n"/>
      <c r="E13" s="9" t="n">
        <v>2931910</v>
      </c>
      <c r="F13" s="9" t="n"/>
      <c r="G13" s="9" t="n"/>
      <c r="H13" s="9" t="n"/>
      <c r="I13" s="10">
        <f>SUM(C13:H13)</f>
        <v/>
      </c>
    </row>
    <row r="14" ht="12" customHeight="1">
      <c r="A14" s="11" t="n"/>
      <c r="B14" s="11" t="n"/>
      <c r="C14" s="12" t="n"/>
      <c r="D14" s="12" t="n"/>
      <c r="E14" s="12" t="n"/>
      <c r="F14" s="12" t="n"/>
      <c r="G14" s="12" t="n"/>
      <c r="H14" s="12" t="n"/>
      <c r="I14" s="13" t="n"/>
    </row>
    <row r="15" ht="14" customHeight="1">
      <c r="A15" s="4" t="n"/>
      <c r="B15" s="5" t="inlineStr">
        <is>
          <t>▶ 地代家賃/固定資産</t>
        </is>
      </c>
      <c r="C15" s="6">
        <f>SUM(C16:C21)</f>
        <v/>
      </c>
      <c r="D15" s="6">
        <f>SUM(D16:D21)</f>
        <v/>
      </c>
      <c r="E15" s="6">
        <f>SUM(E16:E21)</f>
        <v/>
      </c>
      <c r="F15" s="6">
        <f>SUM(F16:F21)</f>
        <v/>
      </c>
      <c r="G15" s="6">
        <f>SUM(G16:G21)</f>
        <v/>
      </c>
      <c r="H15" s="6">
        <f>SUM(H16:H21)</f>
        <v/>
      </c>
      <c r="I15" s="7">
        <f>SUM(I16:I21)</f>
        <v/>
      </c>
    </row>
    <row r="16" ht="13" customHeight="1">
      <c r="A16" s="8" t="inlineStr">
        <is>
          <t>末</t>
        </is>
      </c>
      <c r="B16" s="8" t="inlineStr">
        <is>
          <t xml:space="preserve">  大日産業へ　家賃（駐車場含む）</t>
        </is>
      </c>
      <c r="C16" s="14" t="n">
        <v>360000</v>
      </c>
      <c r="D16" s="14" t="n">
        <v>360000</v>
      </c>
      <c r="E16" s="14" t="n">
        <v>360000</v>
      </c>
      <c r="F16" s="14" t="n">
        <v>360000</v>
      </c>
      <c r="G16" s="14" t="n">
        <v>360000</v>
      </c>
      <c r="H16" s="14" t="n">
        <v>360000</v>
      </c>
      <c r="I16" s="10">
        <f>SUM(C16:H16)</f>
        <v/>
      </c>
    </row>
    <row r="17" ht="13" customHeight="1">
      <c r="A17" s="8" t="inlineStr">
        <is>
          <t>末</t>
        </is>
      </c>
      <c r="B17" s="8" t="inlineStr">
        <is>
          <t xml:space="preserve">  47街区２F　貸事務所</t>
        </is>
      </c>
      <c r="C17" s="14" t="n">
        <v>660000</v>
      </c>
      <c r="D17" s="14" t="n">
        <v>660000</v>
      </c>
      <c r="E17" s="14" t="n">
        <v>660000</v>
      </c>
      <c r="F17" s="14" t="n">
        <v>660000</v>
      </c>
      <c r="G17" s="14" t="n">
        <v>660000</v>
      </c>
      <c r="H17" s="14" t="n">
        <v>660000</v>
      </c>
      <c r="I17" s="10">
        <f>SUM(C17:H17)</f>
        <v/>
      </c>
    </row>
    <row r="18" ht="13" customHeight="1">
      <c r="A18" s="8" t="inlineStr"/>
      <c r="B18" s="8" t="inlineStr">
        <is>
          <t xml:space="preserve">  固定資産税/自動車税/消費税</t>
        </is>
      </c>
      <c r="C18" s="9" t="n"/>
      <c r="D18" s="9" t="n"/>
      <c r="E18" s="9" t="n"/>
      <c r="F18" s="9" t="n"/>
      <c r="G18" s="9" t="n">
        <v>1109900</v>
      </c>
      <c r="H18" s="9" t="n"/>
      <c r="I18" s="10">
        <f>SUM(C18:H18)</f>
        <v/>
      </c>
    </row>
    <row r="19" ht="13" customHeight="1">
      <c r="A19" s="8" t="inlineStr"/>
      <c r="B19" s="8" t="inlineStr">
        <is>
          <t xml:space="preserve">  固定資産税/自動車税（年1回）</t>
        </is>
      </c>
      <c r="C19" s="9" t="n"/>
      <c r="D19" s="9" t="n"/>
      <c r="E19" s="9" t="n"/>
      <c r="F19" s="9" t="n"/>
      <c r="G19" s="9" t="n"/>
      <c r="H19" s="9" t="n">
        <v>834500</v>
      </c>
      <c r="I19" s="10">
        <f>SUM(C19:H19)</f>
        <v/>
      </c>
    </row>
    <row r="20" ht="13" customHeight="1">
      <c r="A20" s="8" t="inlineStr"/>
      <c r="B20" s="8" t="inlineStr">
        <is>
          <t xml:space="preserve">  正木太陽光　尾関15万　　毎年3月</t>
        </is>
      </c>
      <c r="C20" s="9" t="n"/>
      <c r="D20" s="9" t="n"/>
      <c r="E20" s="9" t="n"/>
      <c r="F20" s="9" t="n"/>
      <c r="G20" s="9" t="n"/>
      <c r="H20" s="9" t="n"/>
      <c r="I20" s="10">
        <f>SUM(C20:H20)</f>
        <v/>
      </c>
    </row>
    <row r="21" ht="1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3" t="n"/>
    </row>
    <row r="22" ht="14" customHeight="1">
      <c r="A22" s="4" t="n"/>
      <c r="B22" s="5" t="inlineStr">
        <is>
          <t>▶ 顧問料　支払手数料</t>
        </is>
      </c>
      <c r="C22" s="6">
        <f>SUM(C23:C29)</f>
        <v/>
      </c>
      <c r="D22" s="6">
        <f>SUM(D23:D29)</f>
        <v/>
      </c>
      <c r="E22" s="6">
        <f>SUM(E23:E29)</f>
        <v/>
      </c>
      <c r="F22" s="6">
        <f>SUM(F23:F29)</f>
        <v/>
      </c>
      <c r="G22" s="6">
        <f>SUM(G23:G29)</f>
        <v/>
      </c>
      <c r="H22" s="6">
        <f>SUM(H23:H29)</f>
        <v/>
      </c>
      <c r="I22" s="7">
        <f>SUM(I23:I29)</f>
        <v/>
      </c>
    </row>
    <row r="23" ht="13" customHeight="1">
      <c r="A23" s="8" t="inlineStr"/>
      <c r="B23" s="8" t="inlineStr">
        <is>
          <t xml:space="preserve">  荒川会計</t>
        </is>
      </c>
      <c r="C23" s="14" t="n">
        <v>110000</v>
      </c>
      <c r="D23" s="14" t="n">
        <v>110000</v>
      </c>
      <c r="E23" s="14" t="n">
        <v>110000</v>
      </c>
      <c r="F23" s="14" t="n">
        <v>110000</v>
      </c>
      <c r="G23" s="14" t="n">
        <v>110000</v>
      </c>
      <c r="H23" s="14" t="n">
        <v>110000</v>
      </c>
      <c r="I23" s="10">
        <f>SUM(C23:H23)</f>
        <v/>
      </c>
    </row>
    <row r="24" ht="13" customHeight="1">
      <c r="A24" s="8" t="inlineStr">
        <is>
          <t>28</t>
        </is>
      </c>
      <c r="B24" s="8" t="inlineStr">
        <is>
          <t xml:space="preserve">  ブリックス　税務</t>
        </is>
      </c>
      <c r="C24" s="14" t="n">
        <v>12500</v>
      </c>
      <c r="D24" s="14" t="n">
        <v>12500</v>
      </c>
      <c r="E24" s="14" t="n"/>
      <c r="F24" s="14" t="n">
        <v>12500</v>
      </c>
      <c r="G24" s="14" t="n">
        <v>12500</v>
      </c>
      <c r="H24" s="14" t="n">
        <v>12500</v>
      </c>
      <c r="I24" s="10">
        <f>SUM(C24:H24)</f>
        <v/>
      </c>
    </row>
    <row r="25" ht="13" customHeight="1">
      <c r="A25" s="8" t="inlineStr"/>
      <c r="B25" s="8" t="inlineStr">
        <is>
          <t xml:space="preserve">  ブリックス給与計算</t>
        </is>
      </c>
      <c r="C25" s="14" t="n">
        <v>8750</v>
      </c>
      <c r="D25" s="14" t="n">
        <v>8750</v>
      </c>
      <c r="E25" s="14" t="n"/>
      <c r="F25" s="14" t="n">
        <v>8750</v>
      </c>
      <c r="G25" s="14" t="n">
        <v>8750</v>
      </c>
      <c r="H25" s="14" t="n">
        <v>8750</v>
      </c>
      <c r="I25" s="10">
        <f>SUM(C25:H25)</f>
        <v/>
      </c>
    </row>
    <row r="26" ht="13" customHeight="1">
      <c r="A26" s="8" t="inlineStr">
        <is>
          <t>28</t>
        </is>
      </c>
      <c r="B26" s="8" t="inlineStr">
        <is>
          <t xml:space="preserve">  ブリックス　税務労務</t>
        </is>
      </c>
      <c r="C26" s="9" t="n"/>
      <c r="D26" s="9" t="n"/>
      <c r="E26" s="9" t="n">
        <v>21250</v>
      </c>
      <c r="F26" s="9" t="n"/>
      <c r="G26" s="9" t="n"/>
      <c r="H26" s="9" t="n"/>
      <c r="I26" s="10">
        <f>SUM(C26:H26)</f>
        <v/>
      </c>
    </row>
    <row r="27" ht="13" customHeight="1">
      <c r="A27" s="8" t="inlineStr"/>
      <c r="B27" s="8" t="inlineStr">
        <is>
          <t xml:space="preserve">  行政書士沼田</t>
        </is>
      </c>
      <c r="C27" s="9" t="n"/>
      <c r="D27" s="9" t="n">
        <v>10000</v>
      </c>
      <c r="E27" s="9" t="n">
        <v>106800</v>
      </c>
      <c r="F27" s="9" t="n">
        <v>10000</v>
      </c>
      <c r="G27" s="9" t="n">
        <v>10000</v>
      </c>
      <c r="H27" s="9" t="n">
        <v>10000</v>
      </c>
      <c r="I27" s="10">
        <f>SUM(C27:H27)</f>
        <v/>
      </c>
    </row>
    <row r="28" ht="13" customHeight="1">
      <c r="A28" s="8" t="inlineStr">
        <is>
          <t>末</t>
        </is>
      </c>
      <c r="B28" s="8" t="inlineStr">
        <is>
          <t xml:space="preserve">  Toリサーチ　顧問料</t>
        </is>
      </c>
      <c r="C28" s="9" t="n">
        <v>500000</v>
      </c>
      <c r="D28" s="9" t="n"/>
      <c r="E28" s="9" t="n"/>
      <c r="F28" s="9" t="n"/>
      <c r="G28" s="9" t="n"/>
      <c r="H28" s="9" t="n"/>
      <c r="I28" s="10">
        <f>SUM(C28:H28)</f>
        <v/>
      </c>
    </row>
    <row r="29" ht="1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3" t="n"/>
    </row>
    <row r="30" ht="14" customHeight="1">
      <c r="A30" s="4" t="n"/>
      <c r="B30" s="5" t="inlineStr">
        <is>
          <t>▶ 水道光熱費</t>
        </is>
      </c>
      <c r="C30" s="6">
        <f>SUM(C31:C32)</f>
        <v/>
      </c>
      <c r="D30" s="6">
        <f>SUM(D31:D32)</f>
        <v/>
      </c>
      <c r="E30" s="6">
        <f>SUM(E31:E32)</f>
        <v/>
      </c>
      <c r="F30" s="6">
        <f>SUM(F31:F32)</f>
        <v/>
      </c>
      <c r="G30" s="6">
        <f>SUM(G31:G32)</f>
        <v/>
      </c>
      <c r="H30" s="6">
        <f>SUM(H31:H32)</f>
        <v/>
      </c>
      <c r="I30" s="7">
        <f>SUM(I31:I32)</f>
        <v/>
      </c>
    </row>
    <row r="31" ht="13" customHeight="1">
      <c r="A31" s="8" t="inlineStr">
        <is>
          <t>20</t>
        </is>
      </c>
      <c r="B31" s="8" t="inlineStr">
        <is>
          <t xml:space="preserve">  大日産業へ　　電気代</t>
        </is>
      </c>
      <c r="C31" s="9" t="n">
        <v>8030</v>
      </c>
      <c r="D31" s="9" t="n">
        <v>15216</v>
      </c>
      <c r="E31" s="9" t="n">
        <v>10548</v>
      </c>
      <c r="F31" s="9" t="n">
        <v>14717</v>
      </c>
      <c r="G31" s="9" t="n"/>
      <c r="H31" s="9" t="n">
        <v>15241</v>
      </c>
      <c r="I31" s="10">
        <f>SUM(C31:H31)</f>
        <v/>
      </c>
    </row>
    <row r="32" ht="12" customHeight="1">
      <c r="A32" s="11" t="n"/>
      <c r="B32" s="11" t="n"/>
      <c r="C32" s="12" t="n"/>
      <c r="D32" s="12" t="n"/>
      <c r="E32" s="12" t="n"/>
      <c r="F32" s="12" t="n"/>
      <c r="G32" s="12" t="n"/>
      <c r="H32" s="12" t="n"/>
      <c r="I32" s="13" t="n"/>
    </row>
    <row r="33" ht="14" customHeight="1">
      <c r="A33" s="4" t="n"/>
      <c r="B33" s="5" t="inlineStr">
        <is>
          <t>▶ 保険料</t>
        </is>
      </c>
      <c r="C33" s="6">
        <f>SUM(C34:C38)</f>
        <v/>
      </c>
      <c r="D33" s="6">
        <f>SUM(D34:D38)</f>
        <v/>
      </c>
      <c r="E33" s="6">
        <f>SUM(E34:E38)</f>
        <v/>
      </c>
      <c r="F33" s="6">
        <f>SUM(F34:F38)</f>
        <v/>
      </c>
      <c r="G33" s="6">
        <f>SUM(G34:G38)</f>
        <v/>
      </c>
      <c r="H33" s="6">
        <f>SUM(H34:H38)</f>
        <v/>
      </c>
      <c r="I33" s="7">
        <f>SUM(I34:I38)</f>
        <v/>
      </c>
    </row>
    <row r="34" ht="13" customHeight="1">
      <c r="A34" s="8" t="inlineStr"/>
      <c r="B34" s="8" t="inlineStr">
        <is>
          <t xml:space="preserve">  日本生命　社長奥様</t>
        </is>
      </c>
      <c r="C34" s="14" t="n">
        <v>27517</v>
      </c>
      <c r="D34" s="14" t="n">
        <v>27517</v>
      </c>
      <c r="E34" s="14" t="n">
        <v>27517</v>
      </c>
      <c r="F34" s="14" t="n">
        <v>27517</v>
      </c>
      <c r="G34" s="14" t="n">
        <v>27517</v>
      </c>
      <c r="H34" s="14" t="n">
        <v>27517</v>
      </c>
      <c r="I34" s="10">
        <f>SUM(C34:H34)</f>
        <v/>
      </c>
    </row>
    <row r="35" ht="13" customHeight="1">
      <c r="A35" s="8" t="inlineStr">
        <is>
          <t>26</t>
        </is>
      </c>
      <c r="B35" s="8" t="inlineStr">
        <is>
          <t xml:space="preserve">  ぎしん　保険</t>
        </is>
      </c>
      <c r="C35" s="14" t="n">
        <v>50000</v>
      </c>
      <c r="D35" s="14" t="n">
        <v>50000</v>
      </c>
      <c r="E35" s="14" t="n">
        <v>50000</v>
      </c>
      <c r="F35" s="14" t="n">
        <v>50000</v>
      </c>
      <c r="G35" s="14" t="n">
        <v>50000</v>
      </c>
      <c r="H35" s="14" t="n">
        <v>50000</v>
      </c>
      <c r="I35" s="10">
        <f>SUM(C35:H35)</f>
        <v/>
      </c>
    </row>
    <row r="36" ht="13" customHeight="1">
      <c r="A36" s="8" t="inlineStr"/>
      <c r="B36" s="8" t="inlineStr">
        <is>
          <t xml:space="preserve">  アルファード　保険</t>
        </is>
      </c>
      <c r="C36" s="14" t="n">
        <v>20030</v>
      </c>
      <c r="D36" s="14" t="n">
        <v>20030</v>
      </c>
      <c r="E36" s="14" t="n">
        <v>20030</v>
      </c>
      <c r="F36" s="14" t="n">
        <v>20030</v>
      </c>
      <c r="G36" s="14" t="n">
        <v>20030</v>
      </c>
      <c r="H36" s="14" t="n">
        <v>20030</v>
      </c>
      <c r="I36" s="10">
        <f>SUM(C36:H36)</f>
        <v/>
      </c>
    </row>
    <row r="37" ht="13" customHeight="1">
      <c r="A37" s="8" t="inlineStr"/>
      <c r="B37" s="8" t="inlineStr">
        <is>
          <t xml:space="preserve">  谷汲太陽光　（年一回）389080</t>
        </is>
      </c>
      <c r="C37" s="9" t="n"/>
      <c r="D37" s="9" t="n">
        <v>389080</v>
      </c>
      <c r="E37" s="9" t="n"/>
      <c r="F37" s="9" t="n"/>
      <c r="G37" s="9" t="n"/>
      <c r="H37" s="9" t="n"/>
      <c r="I37" s="10">
        <f>SUM(C37:H37)</f>
        <v/>
      </c>
    </row>
    <row r="38" ht="12" customHeight="1">
      <c r="A38" s="11" t="n"/>
      <c r="B38" s="11" t="n"/>
      <c r="C38" s="12" t="n"/>
      <c r="D38" s="12" t="n"/>
      <c r="E38" s="12" t="n"/>
      <c r="F38" s="12" t="n"/>
      <c r="G38" s="12" t="n"/>
      <c r="H38" s="12" t="n"/>
      <c r="I38" s="13" t="n"/>
    </row>
    <row r="39" ht="14" customHeight="1">
      <c r="A39" s="4" t="n"/>
      <c r="B39" s="5" t="inlineStr">
        <is>
          <t>▶ リース料</t>
        </is>
      </c>
      <c r="C39" s="6">
        <f>SUM(C40:C44)</f>
        <v/>
      </c>
      <c r="D39" s="6">
        <f>SUM(D40:D44)</f>
        <v/>
      </c>
      <c r="E39" s="6">
        <f>SUM(E40:E44)</f>
        <v/>
      </c>
      <c r="F39" s="6">
        <f>SUM(F40:F44)</f>
        <v/>
      </c>
      <c r="G39" s="6">
        <f>SUM(G40:G44)</f>
        <v/>
      </c>
      <c r="H39" s="6">
        <f>SUM(H40:H44)</f>
        <v/>
      </c>
      <c r="I39" s="7">
        <f>SUM(I40:I44)</f>
        <v/>
      </c>
    </row>
    <row r="40" ht="13" customHeight="1">
      <c r="A40" s="8" t="inlineStr"/>
      <c r="B40" s="8" t="inlineStr">
        <is>
          <t xml:space="preserve">  しんきんコピー機リース</t>
        </is>
      </c>
      <c r="C40" s="14" t="n">
        <v>13860</v>
      </c>
      <c r="D40" s="14" t="n">
        <v>13860</v>
      </c>
      <c r="E40" s="14" t="n">
        <v>13860</v>
      </c>
      <c r="F40" s="14" t="n">
        <v>13860</v>
      </c>
      <c r="G40" s="14" t="n">
        <v>13860</v>
      </c>
      <c r="H40" s="14" t="n">
        <v>13860</v>
      </c>
      <c r="I40" s="10">
        <f>SUM(C40:H40)</f>
        <v/>
      </c>
    </row>
    <row r="41" ht="13" customHeight="1">
      <c r="A41" s="8" t="inlineStr"/>
      <c r="B41" s="8" t="inlineStr">
        <is>
          <t xml:space="preserve">  しんきん什器　B47二階</t>
        </is>
      </c>
      <c r="C41" s="14" t="n">
        <v>137720</v>
      </c>
      <c r="D41" s="14" t="n">
        <v>137720</v>
      </c>
      <c r="E41" s="14" t="n">
        <v>137720</v>
      </c>
      <c r="F41" s="14" t="n">
        <v>137720</v>
      </c>
      <c r="G41" s="14" t="n">
        <v>137720</v>
      </c>
      <c r="H41" s="14" t="n"/>
      <c r="I41" s="10">
        <f>SUM(C41:H41)</f>
        <v/>
      </c>
    </row>
    <row r="42" ht="13" customHeight="1">
      <c r="A42" s="8" t="inlineStr"/>
      <c r="B42" s="8" t="inlineStr">
        <is>
          <t xml:space="preserve">  しんきん什器　B47二階　R8.3月迄</t>
        </is>
      </c>
      <c r="C42" s="9" t="n"/>
      <c r="D42" s="9" t="n"/>
      <c r="E42" s="9" t="n"/>
      <c r="F42" s="9" t="n"/>
      <c r="G42" s="9" t="n"/>
      <c r="H42" s="9" t="n">
        <v>137720</v>
      </c>
      <c r="I42" s="10">
        <f>SUM(C42:H42)</f>
        <v/>
      </c>
    </row>
    <row r="43" ht="13" customHeight="1">
      <c r="A43" s="8" t="inlineStr">
        <is>
          <t>10</t>
        </is>
      </c>
      <c r="B43" s="8" t="inlineStr">
        <is>
          <t xml:space="preserve">  IP　ラウンジ使用料</t>
        </is>
      </c>
      <c r="C43" s="9" t="n"/>
      <c r="D43" s="9" t="n"/>
      <c r="E43" s="9" t="n">
        <v>52800</v>
      </c>
      <c r="F43" s="9" t="n"/>
      <c r="G43" s="9" t="n"/>
      <c r="H43" s="9" t="n"/>
      <c r="I43" s="10">
        <f>SUM(C43:H43)</f>
        <v/>
      </c>
    </row>
    <row r="44" ht="12" customHeight="1">
      <c r="A44" s="11" t="n"/>
      <c r="B44" s="11" t="n"/>
      <c r="C44" s="12" t="n"/>
      <c r="D44" s="12" t="n"/>
      <c r="E44" s="12" t="n"/>
      <c r="F44" s="12" t="n"/>
      <c r="G44" s="12" t="n"/>
      <c r="H44" s="12" t="n"/>
      <c r="I44" s="13" t="n"/>
    </row>
    <row r="45" ht="14" customHeight="1">
      <c r="A45" s="4" t="n"/>
      <c r="B45" s="5" t="inlineStr">
        <is>
          <t>▶ 通信費</t>
        </is>
      </c>
      <c r="C45" s="6">
        <f>SUM(C46:C48)</f>
        <v/>
      </c>
      <c r="D45" s="6">
        <f>SUM(D46:D48)</f>
        <v/>
      </c>
      <c r="E45" s="6">
        <f>SUM(E46:E48)</f>
        <v/>
      </c>
      <c r="F45" s="6">
        <f>SUM(F46:F48)</f>
        <v/>
      </c>
      <c r="G45" s="6">
        <f>SUM(G46:G48)</f>
        <v/>
      </c>
      <c r="H45" s="6">
        <f>SUM(H46:H48)</f>
        <v/>
      </c>
      <c r="I45" s="7">
        <f>SUM(I46:I48)</f>
        <v/>
      </c>
    </row>
    <row r="46" ht="13" customHeight="1">
      <c r="A46" s="8" t="inlineStr">
        <is>
          <t>末</t>
        </is>
      </c>
      <c r="B46" s="8" t="inlineStr">
        <is>
          <t xml:space="preserve">  ゴラック  カウンター</t>
        </is>
      </c>
      <c r="C46" s="9" t="n">
        <v>6695</v>
      </c>
      <c r="D46" s="9" t="n">
        <v>6662</v>
      </c>
      <c r="E46" s="9" t="n">
        <v>8985</v>
      </c>
      <c r="F46" s="9" t="n">
        <v>11408</v>
      </c>
      <c r="G46" s="9" t="n">
        <v>4403</v>
      </c>
      <c r="H46" s="9" t="n">
        <v>4733</v>
      </c>
      <c r="I46" s="10">
        <f>SUM(C46:H46)</f>
        <v/>
      </c>
    </row>
    <row r="47" ht="13" customHeight="1">
      <c r="A47" s="8" t="inlineStr"/>
      <c r="B47" s="8" t="inlineStr">
        <is>
          <t xml:space="preserve">  電話料金 NTT</t>
        </is>
      </c>
      <c r="C47" s="9" t="n">
        <v>8712</v>
      </c>
      <c r="D47" s="9" t="n">
        <v>8872</v>
      </c>
      <c r="E47" s="9" t="n">
        <v>8256</v>
      </c>
      <c r="F47" s="9" t="n"/>
      <c r="G47" s="9" t="n"/>
      <c r="H47" s="9" t="n">
        <v>7878</v>
      </c>
      <c r="I47" s="10">
        <f>SUM(C47:H47)</f>
        <v/>
      </c>
    </row>
    <row r="48" ht="12" customHeight="1">
      <c r="A48" s="11" t="n"/>
      <c r="B48" s="11" t="n"/>
      <c r="C48" s="12" t="n"/>
      <c r="D48" s="12" t="n"/>
      <c r="E48" s="12" t="n"/>
      <c r="F48" s="12" t="n"/>
      <c r="G48" s="12" t="n"/>
      <c r="H48" s="12" t="n"/>
      <c r="I48" s="13" t="n"/>
    </row>
    <row r="49" ht="14" customHeight="1">
      <c r="A49" s="4" t="n"/>
      <c r="B49" s="5" t="inlineStr">
        <is>
          <t>▶ 車両費</t>
        </is>
      </c>
      <c r="C49" s="6">
        <f>SUM(C50:C51)</f>
        <v/>
      </c>
      <c r="D49" s="6">
        <f>SUM(D50:D51)</f>
        <v/>
      </c>
      <c r="E49" s="6">
        <f>SUM(E50:E51)</f>
        <v/>
      </c>
      <c r="F49" s="6">
        <f>SUM(F50:F51)</f>
        <v/>
      </c>
      <c r="G49" s="6">
        <f>SUM(G50:G51)</f>
        <v/>
      </c>
      <c r="H49" s="6">
        <f>SUM(H50:H51)</f>
        <v/>
      </c>
      <c r="I49" s="7">
        <f>SUM(I50:I51)</f>
        <v/>
      </c>
    </row>
    <row r="50" ht="13" customHeight="1">
      <c r="A50" s="8" t="inlineStr"/>
      <c r="B50" s="8" t="inlineStr">
        <is>
          <t xml:space="preserve">  大日　車６台携帯２台貸与</t>
        </is>
      </c>
      <c r="C50" s="14" t="n">
        <v>110000</v>
      </c>
      <c r="D50" s="14" t="n">
        <v>110000</v>
      </c>
      <c r="E50" s="14" t="n">
        <v>110000</v>
      </c>
      <c r="F50" s="14" t="n">
        <v>110000</v>
      </c>
      <c r="G50" s="14" t="n">
        <v>110000</v>
      </c>
      <c r="H50" s="14" t="n">
        <v>110000</v>
      </c>
      <c r="I50" s="10">
        <f>SUM(C50:H50)</f>
        <v/>
      </c>
    </row>
    <row r="51" ht="1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3" t="n"/>
    </row>
    <row r="52" ht="14" customHeight="1">
      <c r="A52" s="4" t="n"/>
      <c r="B52" s="5" t="inlineStr">
        <is>
          <t>▶ 雑費/消耗品</t>
        </is>
      </c>
      <c r="C52" s="6">
        <f>SUM(C53:C70)</f>
        <v/>
      </c>
      <c r="D52" s="6">
        <f>SUM(D53:D70)</f>
        <v/>
      </c>
      <c r="E52" s="6">
        <f>SUM(E53:E70)</f>
        <v/>
      </c>
      <c r="F52" s="6">
        <f>SUM(F53:F70)</f>
        <v/>
      </c>
      <c r="G52" s="6">
        <f>SUM(G53:G70)</f>
        <v/>
      </c>
      <c r="H52" s="6">
        <f>SUM(H53:H70)</f>
        <v/>
      </c>
      <c r="I52" s="7">
        <f>SUM(I53:I70)</f>
        <v/>
      </c>
    </row>
    <row r="53" ht="13" customHeight="1">
      <c r="A53" s="8" t="inlineStr">
        <is>
          <t>10</t>
        </is>
      </c>
      <c r="B53" s="8" t="inlineStr">
        <is>
          <t xml:space="preserve">  振込手数料</t>
        </is>
      </c>
      <c r="C53" s="9" t="n">
        <v>24695</v>
      </c>
      <c r="D53" s="9" t="n">
        <v>24915</v>
      </c>
      <c r="E53" s="9" t="n">
        <v>25740</v>
      </c>
      <c r="F53" s="9" t="n">
        <v>29700</v>
      </c>
      <c r="G53" s="9" t="n">
        <v>24860</v>
      </c>
      <c r="H53" s="9" t="n">
        <v>24200</v>
      </c>
      <c r="I53" s="10">
        <f>SUM(C53:H53)</f>
        <v/>
      </c>
    </row>
    <row r="54" ht="13" customHeight="1">
      <c r="A54" s="8" t="inlineStr"/>
      <c r="B54" s="8" t="inlineStr">
        <is>
          <t xml:space="preserve">  BIZバンク　利用料</t>
        </is>
      </c>
      <c r="C54" s="14" t="n">
        <v>1620</v>
      </c>
      <c r="D54" s="14" t="n">
        <v>1620</v>
      </c>
      <c r="E54" s="14" t="n">
        <v>1620</v>
      </c>
      <c r="F54" s="14" t="n">
        <v>1620</v>
      </c>
      <c r="G54" s="14" t="n">
        <v>1620</v>
      </c>
      <c r="H54" s="14" t="n">
        <v>1620</v>
      </c>
      <c r="I54" s="10">
        <f>SUM(C54:H54)</f>
        <v/>
      </c>
    </row>
    <row r="55" ht="13" customHeight="1">
      <c r="A55" s="8" t="inlineStr">
        <is>
          <t>31</t>
        </is>
      </c>
      <c r="B55" s="8" t="inlineStr">
        <is>
          <t xml:space="preserve">  技研サービス</t>
        </is>
      </c>
      <c r="C55" s="14" t="n">
        <v>462000</v>
      </c>
      <c r="D55" s="14" t="n">
        <v>462000</v>
      </c>
      <c r="E55" s="14" t="n">
        <v>462000</v>
      </c>
      <c r="F55" s="14" t="n">
        <v>462000</v>
      </c>
      <c r="G55" s="14" t="n">
        <v>462000</v>
      </c>
      <c r="H55" s="14" t="n">
        <v>462000</v>
      </c>
      <c r="I55" s="10">
        <f>SUM(C55:H55)</f>
        <v/>
      </c>
    </row>
    <row r="56" ht="13" customHeight="1">
      <c r="A56" s="8" t="inlineStr"/>
      <c r="B56" s="8" t="inlineStr">
        <is>
          <t xml:space="preserve">  イーコム（BLOCK47　ゴミ回収）</t>
        </is>
      </c>
      <c r="C56" s="9" t="n">
        <v>9108</v>
      </c>
      <c r="D56" s="9" t="n">
        <v>6809</v>
      </c>
      <c r="E56" s="9" t="n">
        <v>7172</v>
      </c>
      <c r="F56" s="9" t="n">
        <v>7777</v>
      </c>
      <c r="G56" s="9" t="n">
        <v>15158</v>
      </c>
      <c r="H56" s="9" t="n">
        <v>17699</v>
      </c>
      <c r="I56" s="10">
        <f>SUM(C56:H56)</f>
        <v/>
      </c>
    </row>
    <row r="57" ht="13" customHeight="1">
      <c r="A57" s="8" t="inlineStr"/>
      <c r="B57" s="8" t="inlineStr">
        <is>
          <t xml:space="preserve">  リクルート　勤怠管理</t>
        </is>
      </c>
      <c r="C57" s="14" t="n">
        <v>16500</v>
      </c>
      <c r="D57" s="14" t="n">
        <v>16500</v>
      </c>
      <c r="E57" s="14" t="n">
        <v>16500</v>
      </c>
      <c r="F57" s="14" t="n">
        <v>16500</v>
      </c>
      <c r="G57" s="14" t="n">
        <v>16500</v>
      </c>
      <c r="H57" s="14" t="n">
        <v>16500</v>
      </c>
      <c r="I57" s="10">
        <f>SUM(C57:H57)</f>
        <v/>
      </c>
    </row>
    <row r="58" ht="13" customHeight="1">
      <c r="A58" s="8" t="inlineStr"/>
      <c r="B58" s="8" t="inlineStr">
        <is>
          <t xml:space="preserve">  リクルート　募集</t>
        </is>
      </c>
      <c r="C58" s="9" t="n"/>
      <c r="D58" s="9" t="n"/>
      <c r="E58" s="9" t="n"/>
      <c r="F58" s="9" t="n"/>
      <c r="G58" s="9" t="n"/>
      <c r="H58" s="9" t="n"/>
      <c r="I58" s="10">
        <f>SUM(C58:H58)</f>
        <v/>
      </c>
    </row>
    <row r="59" ht="13" customHeight="1">
      <c r="A59" s="8" t="inlineStr"/>
      <c r="B59" s="8" t="inlineStr">
        <is>
          <t xml:space="preserve">  清芳屋</t>
        </is>
      </c>
      <c r="C59" s="9" t="n">
        <v>20500</v>
      </c>
      <c r="D59" s="9" t="n">
        <v>42600</v>
      </c>
      <c r="E59" s="9" t="n">
        <v>30200</v>
      </c>
      <c r="F59" s="9" t="n">
        <v>28704</v>
      </c>
      <c r="G59" s="9" t="n">
        <v>30330</v>
      </c>
      <c r="H59" s="9" t="n">
        <v>6280</v>
      </c>
      <c r="I59" s="10">
        <f>SUM(C59:H59)</f>
        <v/>
      </c>
    </row>
    <row r="60" ht="13" customHeight="1">
      <c r="A60" s="8" t="inlineStr"/>
      <c r="B60" s="8" t="inlineStr">
        <is>
          <t xml:space="preserve">  ダスキン</t>
        </is>
      </c>
      <c r="C60" s="9" t="n">
        <v>3476</v>
      </c>
      <c r="D60" s="9" t="n">
        <v>3476</v>
      </c>
      <c r="E60" s="9" t="n">
        <v>3476</v>
      </c>
      <c r="F60" s="9" t="n">
        <v>3476</v>
      </c>
      <c r="G60" s="9" t="n">
        <v>6028</v>
      </c>
      <c r="H60" s="9" t="n">
        <v>3476</v>
      </c>
      <c r="I60" s="10">
        <f>SUM(C60:H60)</f>
        <v/>
      </c>
    </row>
    <row r="61" ht="13" customHeight="1">
      <c r="A61" s="8" t="inlineStr"/>
      <c r="B61" s="8" t="inlineStr">
        <is>
          <t xml:space="preserve">  大共　社長カード交際費</t>
        </is>
      </c>
      <c r="C61" s="9" t="n">
        <v>21560</v>
      </c>
      <c r="D61" s="9" t="n">
        <v>11170</v>
      </c>
      <c r="E61" s="9" t="n"/>
      <c r="F61" s="9" t="n">
        <v>3000</v>
      </c>
      <c r="G61" s="9" t="n">
        <v>9232</v>
      </c>
      <c r="H61" s="9" t="n"/>
      <c r="I61" s="10">
        <f>SUM(C61:H61)</f>
        <v/>
      </c>
    </row>
    <row r="62" ht="13" customHeight="1">
      <c r="A62" s="8" t="inlineStr"/>
      <c r="B62" s="8" t="inlineStr">
        <is>
          <t xml:space="preserve">  小口現金　（本社）</t>
        </is>
      </c>
      <c r="C62" s="9" t="n">
        <v>50000</v>
      </c>
      <c r="D62" s="9" t="n"/>
      <c r="E62" s="9" t="n"/>
      <c r="F62" s="9" t="n"/>
      <c r="G62" s="9" t="n"/>
      <c r="H62" s="9" t="n"/>
      <c r="I62" s="10">
        <f>SUM(C62:H62)</f>
        <v/>
      </c>
    </row>
    <row r="63" ht="13" customHeight="1">
      <c r="A63" s="8" t="inlineStr"/>
      <c r="B63" s="8" t="inlineStr">
        <is>
          <t xml:space="preserve">  小口現金</t>
        </is>
      </c>
      <c r="C63" s="9" t="n"/>
      <c r="D63" s="9" t="n"/>
      <c r="E63" s="9" t="n"/>
      <c r="F63" s="9" t="n">
        <v>100000</v>
      </c>
      <c r="G63" s="9" t="n"/>
      <c r="H63" s="9" t="n"/>
      <c r="I63" s="10">
        <f>SUM(C63:H63)</f>
        <v/>
      </c>
    </row>
    <row r="64" ht="13" customHeight="1">
      <c r="A64" s="8" t="inlineStr"/>
      <c r="B64" s="8" t="inlineStr">
        <is>
          <t xml:space="preserve">  大日産業へ</t>
        </is>
      </c>
      <c r="C64" s="9" t="n">
        <v>5500</v>
      </c>
      <c r="D64" s="9" t="n"/>
      <c r="E64" s="9" t="n"/>
      <c r="F64" s="9" t="n"/>
      <c r="G64" s="9" t="n"/>
      <c r="H64" s="9" t="n"/>
      <c r="I64" s="10">
        <f>SUM(C64:H64)</f>
        <v/>
      </c>
    </row>
    <row r="65" ht="13" customHeight="1">
      <c r="A65" s="8" t="inlineStr"/>
      <c r="B65" s="8" t="inlineStr">
        <is>
          <t xml:space="preserve">  モノタロー</t>
        </is>
      </c>
      <c r="C65" s="9" t="n">
        <v>7691</v>
      </c>
      <c r="D65" s="9" t="n"/>
      <c r="E65" s="9" t="n"/>
      <c r="F65" s="9" t="n"/>
      <c r="G65" s="9" t="n"/>
      <c r="H65" s="9" t="n"/>
      <c r="I65" s="10">
        <f>SUM(C65:H65)</f>
        <v/>
      </c>
    </row>
    <row r="66" ht="13" customHeight="1">
      <c r="A66" s="8" t="inlineStr"/>
      <c r="B66" s="8" t="inlineStr">
        <is>
          <t xml:space="preserve">  登記費用</t>
        </is>
      </c>
      <c r="C66" s="9" t="n">
        <v>656013</v>
      </c>
      <c r="D66" s="9" t="n"/>
      <c r="E66" s="9" t="n"/>
      <c r="F66" s="9" t="n"/>
      <c r="G66" s="9" t="n"/>
      <c r="H66" s="9" t="n"/>
      <c r="I66" s="10">
        <f>SUM(C66:H66)</f>
        <v/>
      </c>
    </row>
    <row r="67" ht="13" customHeight="1">
      <c r="A67" s="8" t="inlineStr"/>
      <c r="B67" s="8" t="inlineStr">
        <is>
          <t xml:space="preserve">  連絡会岐阜</t>
        </is>
      </c>
      <c r="C67" s="9" t="n"/>
      <c r="D67" s="9" t="n"/>
      <c r="E67" s="9" t="n">
        <v>65000</v>
      </c>
      <c r="F67" s="9" t="n"/>
      <c r="G67" s="9" t="n"/>
      <c r="H67" s="9" t="n"/>
      <c r="I67" s="10">
        <f>SUM(C67:H67)</f>
        <v/>
      </c>
    </row>
    <row r="68" ht="13" customHeight="1">
      <c r="A68" s="8" t="inlineStr"/>
      <c r="B68" s="8" t="inlineStr">
        <is>
          <t xml:space="preserve">  monotaro-</t>
        </is>
      </c>
      <c r="C68" s="9" t="n"/>
      <c r="D68" s="9" t="n"/>
      <c r="E68" s="9" t="n"/>
      <c r="F68" s="9" t="n"/>
      <c r="G68" s="9" t="n"/>
      <c r="H68" s="9" t="n">
        <v>21022</v>
      </c>
      <c r="I68" s="10">
        <f>SUM(C68:H68)</f>
        <v/>
      </c>
    </row>
    <row r="69" ht="13" customHeight="1">
      <c r="A69" s="8" t="inlineStr"/>
      <c r="B69" s="8" t="inlineStr">
        <is>
          <t xml:space="preserve">  オフィスチェア</t>
        </is>
      </c>
      <c r="C69" s="9" t="n"/>
      <c r="D69" s="9" t="n"/>
      <c r="E69" s="9" t="n"/>
      <c r="F69" s="9" t="n"/>
      <c r="G69" s="9" t="n"/>
      <c r="H69" s="9" t="n">
        <v>135415</v>
      </c>
      <c r="I69" s="10">
        <f>SUM(C69:H69)</f>
        <v/>
      </c>
    </row>
    <row r="70" ht="12" customHeight="1">
      <c r="A70" s="11" t="n"/>
      <c r="B70" s="11" t="n"/>
      <c r="C70" s="12" t="n"/>
      <c r="D70" s="12" t="n"/>
      <c r="E70" s="12" t="n"/>
      <c r="F70" s="12" t="n"/>
      <c r="G70" s="12" t="n"/>
      <c r="H70" s="12" t="n"/>
      <c r="I70" s="13" t="n"/>
    </row>
    <row r="71" ht="14" customHeight="1">
      <c r="A71" s="4" t="n"/>
      <c r="B71" s="5" t="inlineStr">
        <is>
          <t>▶ 銀行返済</t>
        </is>
      </c>
      <c r="C71" s="6">
        <f>SUM(C72:C78)</f>
        <v/>
      </c>
      <c r="D71" s="6">
        <f>SUM(D72:D78)</f>
        <v/>
      </c>
      <c r="E71" s="6">
        <f>SUM(E72:E78)</f>
        <v/>
      </c>
      <c r="F71" s="6">
        <f>SUM(F72:F78)</f>
        <v/>
      </c>
      <c r="G71" s="6">
        <f>SUM(G72:G78)</f>
        <v/>
      </c>
      <c r="H71" s="6">
        <f>SUM(H72:H78)</f>
        <v/>
      </c>
      <c r="I71" s="7">
        <f>SUM(I72:I78)</f>
        <v/>
      </c>
    </row>
    <row r="72" ht="13" customHeight="1">
      <c r="A72" s="8" t="inlineStr">
        <is>
          <t>末</t>
        </is>
      </c>
      <c r="B72" s="8" t="inlineStr">
        <is>
          <t xml:space="preserve">  大垣共立2500万　太陽光（1回〜6回）</t>
        </is>
      </c>
      <c r="C72" s="9" t="n">
        <v>259608</v>
      </c>
      <c r="D72" s="9" t="n">
        <v>259608</v>
      </c>
      <c r="E72" s="9" t="n">
        <v>258756</v>
      </c>
      <c r="F72" s="9" t="n">
        <v>246015</v>
      </c>
      <c r="G72" s="9" t="n">
        <v>264212</v>
      </c>
      <c r="H72" s="9" t="n">
        <v>252784</v>
      </c>
      <c r="I72" s="10">
        <f>SUM(C72:H72)</f>
        <v/>
      </c>
    </row>
    <row r="73" ht="13" customHeight="1">
      <c r="A73" s="8" t="inlineStr">
        <is>
          <t>末</t>
        </is>
      </c>
      <c r="B73" s="8" t="inlineStr">
        <is>
          <t xml:space="preserve">  保証協会2500万　太陽光（1回〜6回）</t>
        </is>
      </c>
      <c r="C73" s="9" t="n">
        <v>246975</v>
      </c>
      <c r="D73" s="9" t="n">
        <v>246975</v>
      </c>
      <c r="E73" s="9" t="n">
        <v>246335</v>
      </c>
      <c r="F73" s="9" t="n">
        <v>258329</v>
      </c>
      <c r="G73" s="9" t="n">
        <v>250430</v>
      </c>
      <c r="H73" s="9" t="n">
        <v>241855</v>
      </c>
      <c r="I73" s="10">
        <f>SUM(C73:H73)</f>
        <v/>
      </c>
    </row>
    <row r="74" ht="13" customHeight="1">
      <c r="A74" s="8" t="inlineStr">
        <is>
          <t>末</t>
        </is>
      </c>
      <c r="B74" s="8" t="inlineStr">
        <is>
          <t xml:space="preserve">  大垣共立1000万　太陽光（1回〜18回）</t>
        </is>
      </c>
      <c r="C74" s="9" t="n"/>
      <c r="D74" s="9" t="n">
        <v>129585</v>
      </c>
      <c r="E74" s="9" t="n">
        <v>130098</v>
      </c>
      <c r="F74" s="9" t="n">
        <v>129950</v>
      </c>
      <c r="G74" s="9" t="n">
        <v>131067</v>
      </c>
      <c r="H74" s="9" t="n">
        <v>128720</v>
      </c>
      <c r="I74" s="10">
        <f>SUM(C74:H74)</f>
        <v/>
      </c>
    </row>
    <row r="75" ht="13" customHeight="1">
      <c r="A75" s="8" t="inlineStr">
        <is>
          <t>末</t>
        </is>
      </c>
      <c r="B75" s="8" t="inlineStr">
        <is>
          <t xml:space="preserve">  大垣共立1000万　信用協会（13回）</t>
        </is>
      </c>
      <c r="C75" s="9" t="n">
        <v>130729</v>
      </c>
      <c r="D75" s="9" t="n"/>
      <c r="E75" s="9" t="n"/>
      <c r="F75" s="9" t="n"/>
      <c r="G75" s="9" t="n"/>
      <c r="H75" s="9" t="n"/>
      <c r="I75" s="10">
        <f>SUM(C75:H75)</f>
        <v/>
      </c>
    </row>
    <row r="76" ht="13" customHeight="1">
      <c r="A76" s="8" t="inlineStr">
        <is>
          <t>10</t>
        </is>
      </c>
      <c r="B76" s="8" t="inlineStr">
        <is>
          <t xml:space="preserve">  医療福祉機構600万（1回〜4回）</t>
        </is>
      </c>
      <c r="C76" s="9" t="n">
        <v>250</v>
      </c>
      <c r="D76" s="9" t="n">
        <v>250</v>
      </c>
      <c r="E76" s="9" t="n">
        <v>96250</v>
      </c>
      <c r="F76" s="9" t="n">
        <v>41246</v>
      </c>
      <c r="G76" s="9" t="n">
        <v>41244</v>
      </c>
      <c r="H76" s="9" t="n">
        <v>41242</v>
      </c>
      <c r="I76" s="10">
        <f>SUM(C76:H76)</f>
        <v/>
      </c>
    </row>
    <row r="77" ht="13" customHeight="1">
      <c r="A77" s="8" t="inlineStr">
        <is>
          <t>末</t>
        </is>
      </c>
      <c r="B77" s="8" t="inlineStr">
        <is>
          <t xml:space="preserve">  岐信　600万円　信用協会（81回〜84回）</t>
        </is>
      </c>
      <c r="C77" s="9" t="n">
        <v>71253</v>
      </c>
      <c r="D77" s="9" t="n">
        <v>71175</v>
      </c>
      <c r="E77" s="9" t="n">
        <v>71109</v>
      </c>
      <c r="F77" s="9" t="n">
        <v>107000</v>
      </c>
      <c r="G77" s="9" t="n"/>
      <c r="H77" s="9" t="n"/>
      <c r="I77" s="10">
        <f>SUM(C77:H77)</f>
        <v/>
      </c>
    </row>
    <row r="78" ht="12" customHeight="1">
      <c r="A78" s="11" t="n"/>
      <c r="B78" s="11" t="n"/>
      <c r="C78" s="12" t="n"/>
      <c r="D78" s="12" t="n"/>
      <c r="E78" s="12" t="n"/>
      <c r="F78" s="12" t="n"/>
      <c r="G78" s="12" t="n"/>
      <c r="H78" s="12" t="n"/>
      <c r="I78" s="13" t="n"/>
    </row>
    <row r="79" ht="15" customHeight="1">
      <c r="A79" s="15" t="n"/>
      <c r="B79" s="16" t="inlineStr">
        <is>
          <t>① 支出合計</t>
        </is>
      </c>
      <c r="C79" s="17">
        <f>C4+C15+C22+C30+C33+C39+C45+C49+C52+C71</f>
        <v/>
      </c>
      <c r="D79" s="17">
        <f>D4+D15+D22+D30+D33+D39+D45+D49+D52+D71</f>
        <v/>
      </c>
      <c r="E79" s="17">
        <f>E4+E15+E22+E30+E33+E39+E45+E49+E52+E71</f>
        <v/>
      </c>
      <c r="F79" s="17">
        <f>F4+F15+F22+F30+F33+F39+F45+F49+F52+F71</f>
        <v/>
      </c>
      <c r="G79" s="17">
        <f>G4+G15+G22+G30+G33+G39+G45+G49+G52+G71</f>
        <v/>
      </c>
      <c r="H79" s="17">
        <f>H4+H15+H22+H30+H33+H39+H45+H49+H52+H71</f>
        <v/>
      </c>
      <c r="I79" s="7">
        <f>I4+I15+I22+I30+I33+I39+I45+I49+I52+I71</f>
        <v/>
      </c>
    </row>
    <row r="81" ht="16" customHeight="1">
      <c r="A81" s="18" t="inlineStr">
        <is>
          <t>【 ② 収　入（売上・粗利・雑収入など） 】</t>
        </is>
      </c>
    </row>
    <row r="82" ht="14" customHeight="1">
      <c r="A82" s="19" t="n"/>
      <c r="B82" s="20" t="inlineStr">
        <is>
          <t>▶ 収入・支出項目</t>
        </is>
      </c>
      <c r="C82" s="21">
        <f>SUM(C83:C90)</f>
        <v/>
      </c>
      <c r="D82" s="21">
        <f>SUM(D83:D90)</f>
        <v/>
      </c>
      <c r="E82" s="21">
        <f>SUM(E83:E90)</f>
        <v/>
      </c>
      <c r="F82" s="21">
        <f>SUM(F83:F90)</f>
        <v/>
      </c>
      <c r="G82" s="21">
        <f>SUM(G83:G90)</f>
        <v/>
      </c>
      <c r="H82" s="21">
        <f>SUM(H83:H90)</f>
        <v/>
      </c>
      <c r="I82" s="7">
        <f>SUM(I83:I90)</f>
        <v/>
      </c>
    </row>
    <row r="83" ht="13" customHeight="1">
      <c r="A83" s="22" t="inlineStr">
        <is>
          <t>20</t>
        </is>
      </c>
      <c r="B83" s="22" t="inlineStr">
        <is>
          <t xml:space="preserve">  サービス訓練費</t>
        </is>
      </c>
      <c r="C83" s="23" t="n">
        <v>10685673</v>
      </c>
      <c r="D83" s="23" t="n">
        <v>10171928</v>
      </c>
      <c r="E83" s="23" t="n">
        <v>11084204</v>
      </c>
      <c r="F83" s="23" t="n">
        <v>10383122</v>
      </c>
      <c r="G83" s="23" t="n">
        <v>9860653</v>
      </c>
      <c r="H83" s="23" t="n">
        <v>10142401</v>
      </c>
      <c r="I83" s="10">
        <f>SUM(C83:H83)</f>
        <v/>
      </c>
    </row>
    <row r="84" ht="13" customHeight="1">
      <c r="A84" s="22" t="inlineStr">
        <is>
          <t>10</t>
        </is>
      </c>
      <c r="B84" s="22" t="inlineStr">
        <is>
          <t xml:space="preserve">  大日産業　業務委託料</t>
        </is>
      </c>
      <c r="C84" s="23" t="n">
        <v>2401899</v>
      </c>
      <c r="D84" s="23" t="n">
        <v>1650000</v>
      </c>
      <c r="E84" s="23" t="n">
        <v>1650000</v>
      </c>
      <c r="F84" s="23" t="n">
        <v>1650000</v>
      </c>
      <c r="G84" s="23" t="n">
        <v>1650000</v>
      </c>
      <c r="H84" s="23" t="n">
        <v>1650000</v>
      </c>
      <c r="I84" s="10">
        <f>SUM(C84:H84)</f>
        <v/>
      </c>
    </row>
    <row r="85" ht="13" customHeight="1">
      <c r="A85" s="22" t="inlineStr"/>
      <c r="B85" s="22" t="inlineStr">
        <is>
          <t xml:space="preserve">  正木　太陽光収入</t>
        </is>
      </c>
      <c r="C85" s="23" t="n">
        <v>158658</v>
      </c>
      <c r="D85" s="23" t="n">
        <v>160083</v>
      </c>
      <c r="E85" s="23" t="n">
        <v>198099</v>
      </c>
      <c r="F85" s="23" t="n">
        <v>175200</v>
      </c>
      <c r="G85" s="23" t="n">
        <v>146955</v>
      </c>
      <c r="H85" s="23" t="n">
        <v>106533</v>
      </c>
      <c r="I85" s="10">
        <f>SUM(C85:H85)</f>
        <v/>
      </c>
    </row>
    <row r="86" ht="13" customHeight="1">
      <c r="A86" s="22" t="inlineStr"/>
      <c r="B86" s="22" t="inlineStr">
        <is>
          <t xml:space="preserve">  谷汲　太陽光収入</t>
        </is>
      </c>
      <c r="C86" s="23" t="n"/>
      <c r="D86" s="23" t="n"/>
      <c r="E86" s="23" t="n">
        <v>739889</v>
      </c>
      <c r="F86" s="23" t="n">
        <v>770639</v>
      </c>
      <c r="G86" s="23" t="n">
        <v>601614</v>
      </c>
      <c r="H86" s="23" t="n">
        <v>437484</v>
      </c>
      <c r="I86" s="10">
        <f>SUM(C86:H86)</f>
        <v/>
      </c>
    </row>
    <row r="87" ht="13" customHeight="1">
      <c r="A87" s="22" t="inlineStr">
        <is>
          <t>末</t>
        </is>
      </c>
      <c r="B87" s="22" t="inlineStr">
        <is>
          <t xml:space="preserve">  AJ　清掃</t>
        </is>
      </c>
      <c r="C87" s="24" t="n">
        <v>660000</v>
      </c>
      <c r="D87" s="24" t="n">
        <v>660000</v>
      </c>
      <c r="E87" s="24" t="n">
        <v>660000</v>
      </c>
      <c r="F87" s="24" t="n">
        <v>660000</v>
      </c>
      <c r="G87" s="24" t="n">
        <v>660000</v>
      </c>
      <c r="H87" s="24" t="n">
        <v>660000</v>
      </c>
      <c r="I87" s="10">
        <f>SUM(C87:H87)</f>
        <v/>
      </c>
    </row>
    <row r="88" ht="13" customHeight="1">
      <c r="A88" s="22" t="inlineStr"/>
      <c r="B88" s="22" t="inlineStr">
        <is>
          <t xml:space="preserve">  特開金　その他　助成金</t>
        </is>
      </c>
      <c r="C88" s="23" t="n">
        <v>400000</v>
      </c>
      <c r="D88" s="23" t="n">
        <v>400000</v>
      </c>
      <c r="E88" s="23" t="n">
        <v>200000</v>
      </c>
      <c r="F88" s="23" t="n"/>
      <c r="G88" s="23" t="n">
        <v>200000</v>
      </c>
      <c r="H88" s="23" t="n">
        <v>600000</v>
      </c>
      <c r="I88" s="10">
        <f>SUM(C88:H88)</f>
        <v/>
      </c>
    </row>
    <row r="89" ht="13" customHeight="1">
      <c r="A89" s="22" t="inlineStr"/>
      <c r="B89" s="22" t="inlineStr">
        <is>
          <t xml:space="preserve">  雇用調整/キャリアUP/奨励金</t>
        </is>
      </c>
      <c r="C89" s="23" t="n"/>
      <c r="D89" s="23" t="n"/>
      <c r="E89" s="23" t="n">
        <v>1600000</v>
      </c>
      <c r="F89" s="23" t="n">
        <v>500000</v>
      </c>
      <c r="G89" s="23" t="n">
        <v>100000</v>
      </c>
      <c r="H89" s="23" t="n">
        <v>3900000</v>
      </c>
      <c r="I89" s="10">
        <f>SUM(C89:H89)</f>
        <v/>
      </c>
    </row>
    <row r="90" ht="12" customHeight="1">
      <c r="A90" s="25" t="n"/>
      <c r="B90" s="25" t="n"/>
      <c r="C90" s="26" t="n"/>
      <c r="D90" s="26" t="n"/>
      <c r="E90" s="26" t="n"/>
      <c r="F90" s="26" t="n"/>
      <c r="G90" s="26" t="n"/>
      <c r="H90" s="26" t="n"/>
      <c r="I90" s="13" t="n"/>
    </row>
    <row r="91" ht="15" customHeight="1">
      <c r="A91" s="27" t="n"/>
      <c r="B91" s="28" t="inlineStr">
        <is>
          <t>② 収入合計</t>
        </is>
      </c>
      <c r="C91" s="29">
        <f>C82</f>
        <v/>
      </c>
      <c r="D91" s="29">
        <f>D82</f>
        <v/>
      </c>
      <c r="E91" s="29">
        <f>E82</f>
        <v/>
      </c>
      <c r="F91" s="29">
        <f>F82</f>
        <v/>
      </c>
      <c r="G91" s="29">
        <f>G82</f>
        <v/>
      </c>
      <c r="H91" s="29">
        <f>H82</f>
        <v/>
      </c>
      <c r="I91" s="7">
        <f>I82</f>
        <v/>
      </c>
    </row>
    <row r="93" ht="22" customHeight="1">
      <c r="A93" s="30" t="n"/>
      <c r="B93" s="31" t="inlineStr">
        <is>
          <t>① 経　費</t>
        </is>
      </c>
      <c r="C93" s="32">
        <f>C79</f>
        <v/>
      </c>
      <c r="D93" s="32">
        <f>D79</f>
        <v/>
      </c>
      <c r="E93" s="32">
        <f>E79</f>
        <v/>
      </c>
      <c r="F93" s="32">
        <f>F79</f>
        <v/>
      </c>
      <c r="G93" s="32">
        <f>G79</f>
        <v/>
      </c>
      <c r="H93" s="32">
        <f>H79</f>
        <v/>
      </c>
      <c r="I93" s="32">
        <f>I79</f>
        <v/>
      </c>
    </row>
    <row r="94" ht="22" customHeight="1">
      <c r="A94" s="33" t="n"/>
      <c r="B94" s="34" t="inlineStr">
        <is>
          <t>② 収　入</t>
        </is>
      </c>
      <c r="C94" s="35">
        <f>C91</f>
        <v/>
      </c>
      <c r="D94" s="35">
        <f>D91</f>
        <v/>
      </c>
      <c r="E94" s="35">
        <f>E91</f>
        <v/>
      </c>
      <c r="F94" s="35">
        <f>F91</f>
        <v/>
      </c>
      <c r="G94" s="35">
        <f>G91</f>
        <v/>
      </c>
      <c r="H94" s="35">
        <f>H91</f>
        <v/>
      </c>
      <c r="I94" s="35">
        <f>I91</f>
        <v/>
      </c>
    </row>
    <row r="95" ht="22" customHeight="1">
      <c r="A95" s="36" t="n"/>
      <c r="B95" s="37" t="inlineStr">
        <is>
          <t>③ 収　支  ②－①</t>
        </is>
      </c>
      <c r="C95" s="38">
        <f>C91-C79</f>
        <v/>
      </c>
      <c r="D95" s="38">
        <f>D91-D79</f>
        <v/>
      </c>
      <c r="E95" s="38">
        <f>E91-E79</f>
        <v/>
      </c>
      <c r="F95" s="38">
        <f>F91-F79</f>
        <v/>
      </c>
      <c r="G95" s="38">
        <f>G91-G79</f>
        <v/>
      </c>
      <c r="H95" s="38">
        <f>H91-H79</f>
        <v/>
      </c>
      <c r="I95" s="38">
        <f>I91-I79</f>
        <v/>
      </c>
    </row>
  </sheetData>
  <mergeCells count="3">
    <mergeCell ref="A1:I1"/>
    <mergeCell ref="A81:I8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K87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② ウェルピア羽島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R8.6月</t>
        </is>
      </c>
      <c r="I2" s="2" t="inlineStr">
        <is>
          <t>下期累計</t>
        </is>
      </c>
      <c r="J2" s="2" t="inlineStr">
        <is>
          <t>上期累計</t>
        </is>
      </c>
      <c r="K2" s="2" t="inlineStr">
        <is>
          <t>通期合計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　福利</t>
        </is>
      </c>
      <c r="C4" s="6">
        <f>SUM(C5:C13)</f>
        <v/>
      </c>
      <c r="D4" s="6">
        <f>SUM(D5:D13)</f>
        <v/>
      </c>
      <c r="E4" s="6">
        <f>SUM(E5:E13)</f>
        <v/>
      </c>
      <c r="F4" s="6">
        <f>SUM(F5:F13)</f>
        <v/>
      </c>
      <c r="G4" s="6">
        <f>SUM(G5:G13)</f>
        <v/>
      </c>
      <c r="H4" s="6">
        <f>SUM(H5:H13)</f>
        <v/>
      </c>
      <c r="I4" s="7">
        <f>SUM(I5:I13)</f>
        <v/>
      </c>
      <c r="J4" s="39">
        <f>SUM(J5:J13)</f>
        <v/>
      </c>
      <c r="K4" s="40">
        <f>SUM(K5:K13)</f>
        <v/>
      </c>
    </row>
    <row r="5" ht="13" customHeight="1">
      <c r="A5" s="8" t="inlineStr">
        <is>
          <t>10</t>
        </is>
      </c>
      <c r="B5" s="8" t="inlineStr">
        <is>
          <t xml:space="preserve">  IP　ラウンジ使用料</t>
        </is>
      </c>
      <c r="C5" s="14" t="n">
        <v>52800</v>
      </c>
      <c r="D5" s="14" t="n">
        <v>52800</v>
      </c>
      <c r="E5" s="14" t="n">
        <v>52800</v>
      </c>
      <c r="F5" s="14" t="n">
        <v>52800</v>
      </c>
      <c r="G5" s="14" t="n">
        <v>52800</v>
      </c>
      <c r="H5" s="14" t="n"/>
      <c r="I5" s="10">
        <f>SUM(C5:H5)</f>
        <v/>
      </c>
      <c r="J5" s="41">
        <f>'ウェルピア羽島_上期_7-12月'!I11</f>
        <v/>
      </c>
      <c r="K5" s="42">
        <f>I5+J5</f>
        <v/>
      </c>
    </row>
    <row r="6" ht="13" customHeight="1">
      <c r="A6" s="8" t="inlineStr">
        <is>
          <t>20</t>
        </is>
      </c>
      <c r="B6" s="8" t="inlineStr">
        <is>
          <t xml:space="preserve">  給与</t>
        </is>
      </c>
      <c r="C6" s="9" t="n">
        <v>5786776</v>
      </c>
      <c r="D6" s="9" t="n">
        <v>5733757</v>
      </c>
      <c r="E6" s="9" t="n">
        <v>5336065</v>
      </c>
      <c r="F6" s="9" t="n">
        <v>5965710</v>
      </c>
      <c r="G6" s="9" t="n"/>
      <c r="H6" s="9" t="n"/>
      <c r="I6" s="10">
        <f>SUM(C6:H6)</f>
        <v/>
      </c>
      <c r="J6" s="41">
        <f>'ウェルピア羽島_上期_7-12月'!I5</f>
        <v/>
      </c>
      <c r="K6" s="42">
        <f>I6+J6</f>
        <v/>
      </c>
    </row>
    <row r="7" ht="13" customHeight="1">
      <c r="A7" s="8" t="inlineStr"/>
      <c r="B7" s="8" t="inlineStr">
        <is>
          <t xml:space="preserve">  役員報酬</t>
        </is>
      </c>
      <c r="C7" s="9" t="n">
        <v>2427003</v>
      </c>
      <c r="D7" s="9" t="n">
        <v>2427003</v>
      </c>
      <c r="E7" s="9" t="n">
        <v>2423503</v>
      </c>
      <c r="F7" s="9" t="n">
        <v>2423503</v>
      </c>
      <c r="G7" s="9" t="n"/>
      <c r="H7" s="9" t="n"/>
      <c r="I7" s="10">
        <f>SUM(C7:H7)</f>
        <v/>
      </c>
      <c r="J7" s="41">
        <f>'ウェルピア羽島_上期_7-12月'!I6</f>
        <v/>
      </c>
      <c r="K7" s="42">
        <f>I7+J7</f>
        <v/>
      </c>
    </row>
    <row r="8" ht="13" customHeight="1">
      <c r="A8" s="8" t="inlineStr">
        <is>
          <t>31</t>
        </is>
      </c>
      <c r="B8" s="8" t="inlineStr">
        <is>
          <t xml:space="preserve">  社員社保料（会社負担分）</t>
        </is>
      </c>
      <c r="C8" s="9" t="n">
        <v>264064</v>
      </c>
      <c r="D8" s="9" t="n">
        <v>263789</v>
      </c>
      <c r="E8" s="9" t="n">
        <v>269776</v>
      </c>
      <c r="F8" s="9" t="n">
        <v>272310</v>
      </c>
      <c r="G8" s="9" t="n"/>
      <c r="H8" s="9" t="n"/>
      <c r="I8" s="10">
        <f>SUM(C8:H8)</f>
        <v/>
      </c>
      <c r="J8" s="41">
        <f>'ウェルピア羽島_上期_7-12月'!I7</f>
        <v/>
      </c>
      <c r="K8" s="42">
        <f>I8+J8</f>
        <v/>
      </c>
    </row>
    <row r="9" ht="13" customHeight="1">
      <c r="A9" s="8" t="inlineStr"/>
      <c r="B9" s="8" t="inlineStr">
        <is>
          <t xml:space="preserve">  役員社保料（会社負担分）</t>
        </is>
      </c>
      <c r="C9" s="9" t="n">
        <v>285701</v>
      </c>
      <c r="D9" s="9" t="n">
        <v>285701</v>
      </c>
      <c r="E9" s="9" t="n">
        <v>285701</v>
      </c>
      <c r="F9" s="9" t="n">
        <v>147297</v>
      </c>
      <c r="G9" s="9" t="n"/>
      <c r="H9" s="9" t="n"/>
      <c r="I9" s="10">
        <f>SUM(C9:H9)</f>
        <v/>
      </c>
      <c r="J9" s="41">
        <f>'ウェルピア羽島_上期_7-12月'!I8</f>
        <v/>
      </c>
      <c r="K9" s="42">
        <f>I9+J9</f>
        <v/>
      </c>
    </row>
    <row r="10" ht="13" customHeight="1">
      <c r="A10" s="8" t="inlineStr"/>
      <c r="B10" s="8" t="inlineStr">
        <is>
          <t xml:space="preserve">  大日出向費 事務費10万</t>
        </is>
      </c>
      <c r="C10" s="9" t="n">
        <v>303334</v>
      </c>
      <c r="D10" s="9" t="n">
        <v>288682</v>
      </c>
      <c r="E10" s="9" t="n">
        <v>287368</v>
      </c>
      <c r="F10" s="9" t="n">
        <v>301344</v>
      </c>
      <c r="G10" s="9" t="n"/>
      <c r="H10" s="9" t="n"/>
      <c r="I10" s="10">
        <f>SUM(C10:H10)</f>
        <v/>
      </c>
      <c r="J10" s="41">
        <f>'ウェルピア羽島_上期_7-12月'!I9</f>
        <v/>
      </c>
      <c r="K10" s="42">
        <f>I10+J10</f>
        <v/>
      </c>
    </row>
    <row r="11" ht="13" customHeight="1">
      <c r="A11" s="8" t="inlineStr"/>
      <c r="B11" s="8" t="inlineStr">
        <is>
          <t xml:space="preserve">  寿食品　出前弁当（給与から控除）</t>
        </is>
      </c>
      <c r="C11" s="9" t="n">
        <v>37260</v>
      </c>
      <c r="D11" s="9" t="n"/>
      <c r="E11" s="9" t="n">
        <v>21735</v>
      </c>
      <c r="F11" s="9" t="n">
        <v>22977</v>
      </c>
      <c r="G11" s="9" t="n"/>
      <c r="H11" s="9" t="n"/>
      <c r="I11" s="10">
        <f>SUM(C11:H11)</f>
        <v/>
      </c>
      <c r="J11" s="41">
        <f>'ウェルピア羽島_上期_7-12月'!I10</f>
        <v/>
      </c>
      <c r="K11" s="42">
        <f>I11+J11</f>
        <v/>
      </c>
    </row>
    <row r="12" ht="13" customHeight="1">
      <c r="A12" s="8" t="inlineStr"/>
      <c r="B12" s="8" t="inlineStr">
        <is>
          <t xml:space="preserve">  労働保険料（9.11.2.）</t>
        </is>
      </c>
      <c r="C12" s="9" t="n"/>
      <c r="D12" s="9" t="n">
        <v>385713</v>
      </c>
      <c r="E12" s="9" t="n"/>
      <c r="F12" s="9" t="n"/>
      <c r="G12" s="9" t="n"/>
      <c r="H12" s="9" t="n"/>
      <c r="I12" s="10">
        <f>SUM(C12:H12)</f>
        <v/>
      </c>
      <c r="J12" s="41">
        <f>'ウェルピア羽島_上期_7-12月'!I12</f>
        <v/>
      </c>
      <c r="K12" s="42">
        <f>I12+J12</f>
        <v/>
      </c>
    </row>
    <row r="13" ht="1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3" t="n"/>
      <c r="J13" s="43" t="n"/>
      <c r="K13" s="44" t="n"/>
    </row>
    <row r="14" ht="14" customHeight="1">
      <c r="A14" s="4" t="n"/>
      <c r="B14" s="5" t="inlineStr">
        <is>
          <t>▶ 地代家賃/固定資産</t>
        </is>
      </c>
      <c r="C14" s="6">
        <f>SUM(C15:C19)</f>
        <v/>
      </c>
      <c r="D14" s="6">
        <f>SUM(D15:D19)</f>
        <v/>
      </c>
      <c r="E14" s="6">
        <f>SUM(E15:E19)</f>
        <v/>
      </c>
      <c r="F14" s="6">
        <f>SUM(F15:F19)</f>
        <v/>
      </c>
      <c r="G14" s="6">
        <f>SUM(G15:G19)</f>
        <v/>
      </c>
      <c r="H14" s="6">
        <f>SUM(H15:H19)</f>
        <v/>
      </c>
      <c r="I14" s="7">
        <f>SUM(I15:I19)</f>
        <v/>
      </c>
      <c r="J14" s="39">
        <f>SUM(J15:J19)</f>
        <v/>
      </c>
      <c r="K14" s="40">
        <f>SUM(K15:K19)</f>
        <v/>
      </c>
    </row>
    <row r="15" ht="13" customHeight="1">
      <c r="A15" s="8" t="inlineStr">
        <is>
          <t>末</t>
        </is>
      </c>
      <c r="B15" s="8" t="inlineStr">
        <is>
          <t xml:space="preserve">  大日産業へ　家賃（駐車場含む）</t>
        </is>
      </c>
      <c r="C15" s="14" t="n">
        <v>360000</v>
      </c>
      <c r="D15" s="14" t="n">
        <v>360000</v>
      </c>
      <c r="E15" s="14" t="n">
        <v>360000</v>
      </c>
      <c r="F15" s="14" t="n">
        <v>360000</v>
      </c>
      <c r="G15" s="14" t="n">
        <v>360000</v>
      </c>
      <c r="H15" s="14" t="n"/>
      <c r="I15" s="10">
        <f>SUM(C15:H15)</f>
        <v/>
      </c>
      <c r="J15" s="41">
        <f>'ウェルピア羽島_上期_7-12月'!I16</f>
        <v/>
      </c>
      <c r="K15" s="42">
        <f>I15+J15</f>
        <v/>
      </c>
    </row>
    <row r="16" ht="13" customHeight="1">
      <c r="A16" s="8" t="inlineStr">
        <is>
          <t>末</t>
        </is>
      </c>
      <c r="B16" s="8" t="inlineStr">
        <is>
          <t xml:space="preserve">  47街区２F　貸事務所</t>
        </is>
      </c>
      <c r="C16" s="14" t="n">
        <v>660000</v>
      </c>
      <c r="D16" s="14" t="n">
        <v>660000</v>
      </c>
      <c r="E16" s="14" t="n">
        <v>660000</v>
      </c>
      <c r="F16" s="14" t="n">
        <v>660000</v>
      </c>
      <c r="G16" s="14" t="n">
        <v>660000</v>
      </c>
      <c r="H16" s="14" t="n"/>
      <c r="I16" s="10">
        <f>SUM(C16:H16)</f>
        <v/>
      </c>
      <c r="J16" s="41">
        <f>'ウェルピア羽島_上期_7-12月'!I17</f>
        <v/>
      </c>
      <c r="K16" s="42">
        <f>I16+J16</f>
        <v/>
      </c>
    </row>
    <row r="17" ht="13" customHeight="1">
      <c r="A17" s="8" t="inlineStr"/>
      <c r="B17" s="8" t="inlineStr">
        <is>
          <t xml:space="preserve">  固定資産税/自動車税（年1回）</t>
        </is>
      </c>
      <c r="C17" s="9" t="n"/>
      <c r="D17" s="9" t="n">
        <v>172000</v>
      </c>
      <c r="E17" s="9" t="n"/>
      <c r="F17" s="9" t="n">
        <v>299200</v>
      </c>
      <c r="G17" s="9" t="n"/>
      <c r="H17" s="9" t="n"/>
      <c r="I17" s="10">
        <f>SUM(C17:H17)</f>
        <v/>
      </c>
      <c r="J17" s="41">
        <f>'ウェルピア羽島_上期_7-12月'!I19</f>
        <v/>
      </c>
      <c r="K17" s="42">
        <f>I17+J17</f>
        <v/>
      </c>
    </row>
    <row r="18" ht="13" customHeight="1">
      <c r="A18" s="8" t="inlineStr"/>
      <c r="B18" s="8" t="inlineStr">
        <is>
          <t xml:space="preserve">  正木太陽光　尾関15万　　毎年3月</t>
        </is>
      </c>
      <c r="C18" s="9" t="n"/>
      <c r="D18" s="9" t="n"/>
      <c r="E18" s="9" t="n">
        <v>150000</v>
      </c>
      <c r="F18" s="9" t="n"/>
      <c r="G18" s="9" t="n"/>
      <c r="H18" s="9" t="n"/>
      <c r="I18" s="10">
        <f>SUM(C18:H18)</f>
        <v/>
      </c>
      <c r="J18" s="41">
        <f>'ウェルピア羽島_上期_7-12月'!I20</f>
        <v/>
      </c>
      <c r="K18" s="42">
        <f>I18+J18</f>
        <v/>
      </c>
    </row>
    <row r="19" ht="1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3" t="n"/>
      <c r="J19" s="43" t="n"/>
      <c r="K19" s="44" t="n"/>
    </row>
    <row r="20" ht="14" customHeight="1">
      <c r="A20" s="4" t="n"/>
      <c r="B20" s="5" t="inlineStr">
        <is>
          <t>▶ 顧問料　支払手数料</t>
        </is>
      </c>
      <c r="C20" s="6">
        <f>SUM(C21:C25)</f>
        <v/>
      </c>
      <c r="D20" s="6">
        <f>SUM(D21:D25)</f>
        <v/>
      </c>
      <c r="E20" s="6">
        <f>SUM(E21:E25)</f>
        <v/>
      </c>
      <c r="F20" s="6">
        <f>SUM(F21:F25)</f>
        <v/>
      </c>
      <c r="G20" s="6">
        <f>SUM(G21:G25)</f>
        <v/>
      </c>
      <c r="H20" s="6">
        <f>SUM(H21:H25)</f>
        <v/>
      </c>
      <c r="I20" s="7">
        <f>SUM(I21:I25)</f>
        <v/>
      </c>
      <c r="J20" s="39">
        <f>SUM(J21:J25)</f>
        <v/>
      </c>
      <c r="K20" s="40">
        <f>SUM(K21:K25)</f>
        <v/>
      </c>
    </row>
    <row r="21" ht="13" customHeight="1">
      <c r="A21" s="8" t="inlineStr">
        <is>
          <t>28</t>
        </is>
      </c>
      <c r="B21" s="8" t="inlineStr">
        <is>
          <t xml:space="preserve">  ブリックス　税務</t>
        </is>
      </c>
      <c r="C21" s="14" t="n">
        <v>12500</v>
      </c>
      <c r="D21" s="14" t="n">
        <v>12500</v>
      </c>
      <c r="E21" s="14" t="n">
        <v>12500</v>
      </c>
      <c r="F21" s="14" t="n">
        <v>12500</v>
      </c>
      <c r="G21" s="14" t="n">
        <v>12500</v>
      </c>
      <c r="H21" s="14" t="n"/>
      <c r="I21" s="10">
        <f>SUM(C21:H21)</f>
        <v/>
      </c>
      <c r="J21" s="41">
        <f>'ウェルピア羽島_上期_7-12月'!I24</f>
        <v/>
      </c>
      <c r="K21" s="42">
        <f>I21+J21</f>
        <v/>
      </c>
    </row>
    <row r="22" ht="13" customHeight="1">
      <c r="A22" s="8" t="inlineStr"/>
      <c r="B22" s="8" t="inlineStr">
        <is>
          <t xml:space="preserve">  ブリックス給与計算</t>
        </is>
      </c>
      <c r="C22" s="14" t="n">
        <v>8750</v>
      </c>
      <c r="D22" s="14" t="n">
        <v>8750</v>
      </c>
      <c r="E22" s="14" t="n">
        <v>8750</v>
      </c>
      <c r="F22" s="14" t="n">
        <v>8750</v>
      </c>
      <c r="G22" s="14" t="n">
        <v>8750</v>
      </c>
      <c r="H22" s="14" t="n"/>
      <c r="I22" s="10">
        <f>SUM(C22:H22)</f>
        <v/>
      </c>
      <c r="J22" s="41">
        <f>'ウェルピア羽島_上期_7-12月'!I25</f>
        <v/>
      </c>
      <c r="K22" s="42">
        <f>I22+J22</f>
        <v/>
      </c>
    </row>
    <row r="23" ht="13" customHeight="1">
      <c r="A23" s="8" t="inlineStr"/>
      <c r="B23" s="8" t="inlineStr">
        <is>
          <t xml:space="preserve">  荒川会計</t>
        </is>
      </c>
      <c r="C23" s="14" t="n">
        <v>110000</v>
      </c>
      <c r="D23" s="14" t="n">
        <v>110000</v>
      </c>
      <c r="E23" s="14" t="n">
        <v>110000</v>
      </c>
      <c r="F23" s="14" t="n">
        <v>110000</v>
      </c>
      <c r="G23" s="14" t="n">
        <v>110000</v>
      </c>
      <c r="H23" s="14" t="n"/>
      <c r="I23" s="10">
        <f>SUM(C23:H23)</f>
        <v/>
      </c>
      <c r="J23" s="41">
        <f>'ウェルピア羽島_上期_7-12月'!I23</f>
        <v/>
      </c>
      <c r="K23" s="42">
        <f>I23+J23</f>
        <v/>
      </c>
    </row>
    <row r="24" ht="13" customHeight="1">
      <c r="A24" s="8" t="inlineStr"/>
      <c r="B24" s="8" t="inlineStr">
        <is>
          <t xml:space="preserve">  行政書士沼田</t>
        </is>
      </c>
      <c r="C24" s="14" t="n">
        <v>10000</v>
      </c>
      <c r="D24" s="14" t="n">
        <v>10000</v>
      </c>
      <c r="E24" s="14" t="n">
        <v>10000</v>
      </c>
      <c r="F24" s="14" t="n">
        <v>10000</v>
      </c>
      <c r="G24" s="14" t="n">
        <v>10000</v>
      </c>
      <c r="H24" s="14" t="n"/>
      <c r="I24" s="10">
        <f>SUM(C24:H24)</f>
        <v/>
      </c>
      <c r="J24" s="41">
        <f>'ウェルピア羽島_上期_7-12月'!I27</f>
        <v/>
      </c>
      <c r="K24" s="42">
        <f>I24+J24</f>
        <v/>
      </c>
    </row>
    <row r="25" ht="1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3" t="n"/>
      <c r="J25" s="43" t="n"/>
      <c r="K25" s="44" t="n"/>
    </row>
    <row r="26" ht="14" customHeight="1">
      <c r="A26" s="4" t="n"/>
      <c r="B26" s="5" t="inlineStr">
        <is>
          <t>▶ 水道光熱費</t>
        </is>
      </c>
      <c r="C26" s="6">
        <f>SUM(C27:C29)</f>
        <v/>
      </c>
      <c r="D26" s="6">
        <f>SUM(D27:D29)</f>
        <v/>
      </c>
      <c r="E26" s="6">
        <f>SUM(E27:E29)</f>
        <v/>
      </c>
      <c r="F26" s="6">
        <f>SUM(F27:F29)</f>
        <v/>
      </c>
      <c r="G26" s="6">
        <f>SUM(G27:G29)</f>
        <v/>
      </c>
      <c r="H26" s="6">
        <f>SUM(H27:H29)</f>
        <v/>
      </c>
      <c r="I26" s="7">
        <f>SUM(I27:I29)</f>
        <v/>
      </c>
      <c r="J26" s="39">
        <f>SUM(J27:J29)</f>
        <v/>
      </c>
      <c r="K26" s="40">
        <f>SUM(K27:K29)</f>
        <v/>
      </c>
    </row>
    <row r="27" ht="13" customHeight="1">
      <c r="A27" s="8" t="inlineStr">
        <is>
          <t>20</t>
        </is>
      </c>
      <c r="B27" s="8" t="inlineStr">
        <is>
          <t xml:space="preserve">  大日産業へ　　電気代</t>
        </is>
      </c>
      <c r="C27" s="9" t="n">
        <v>229663</v>
      </c>
      <c r="D27" s="9" t="n">
        <v>96240</v>
      </c>
      <c r="E27" s="9" t="n"/>
      <c r="F27" s="9" t="n"/>
      <c r="G27" s="9" t="n"/>
      <c r="H27" s="9" t="n"/>
      <c r="I27" s="10">
        <f>SUM(C27:H27)</f>
        <v/>
      </c>
      <c r="J27" s="41">
        <f>'ウェルピア羽島_上期_7-12月'!I31</f>
        <v/>
      </c>
      <c r="K27" s="42">
        <f>I27+J27</f>
        <v/>
      </c>
    </row>
    <row r="28" ht="13" customHeight="1">
      <c r="A28" s="8" t="inlineStr">
        <is>
          <t>20</t>
        </is>
      </c>
      <c r="B28" s="8" t="inlineStr">
        <is>
          <t xml:space="preserve">  大日産業へ　　電気代など</t>
        </is>
      </c>
      <c r="C28" s="9" t="n"/>
      <c r="D28" s="9" t="n"/>
      <c r="E28" s="9" t="n">
        <v>79527</v>
      </c>
      <c r="F28" s="9" t="n">
        <v>15937</v>
      </c>
      <c r="G28" s="9" t="n"/>
      <c r="H28" s="9" t="n"/>
      <c r="I28" s="10">
        <f>SUM(C28:H28)</f>
        <v/>
      </c>
      <c r="J28" s="41" t="n"/>
      <c r="K28" s="42">
        <f>I28+J28</f>
        <v/>
      </c>
    </row>
    <row r="29" ht="1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3" t="n"/>
      <c r="J29" s="43" t="n"/>
      <c r="K29" s="44" t="n"/>
    </row>
    <row r="30" ht="14" customHeight="1">
      <c r="A30" s="4" t="n"/>
      <c r="B30" s="5" t="inlineStr">
        <is>
          <t>▶ 保険料</t>
        </is>
      </c>
      <c r="C30" s="6">
        <f>SUM(C31:C35)</f>
        <v/>
      </c>
      <c r="D30" s="6">
        <f>SUM(D31:D35)</f>
        <v/>
      </c>
      <c r="E30" s="6">
        <f>SUM(E31:E35)</f>
        <v/>
      </c>
      <c r="F30" s="6">
        <f>SUM(F31:F35)</f>
        <v/>
      </c>
      <c r="G30" s="6">
        <f>SUM(G31:G35)</f>
        <v/>
      </c>
      <c r="H30" s="6">
        <f>SUM(H31:H35)</f>
        <v/>
      </c>
      <c r="I30" s="7">
        <f>SUM(I31:I35)</f>
        <v/>
      </c>
      <c r="J30" s="39">
        <f>SUM(J31:J35)</f>
        <v/>
      </c>
      <c r="K30" s="40">
        <f>SUM(K31:K35)</f>
        <v/>
      </c>
    </row>
    <row r="31" ht="13" customHeight="1">
      <c r="A31" s="8" t="inlineStr"/>
      <c r="B31" s="8" t="inlineStr">
        <is>
          <t xml:space="preserve">  日本生命　社長奥様</t>
        </is>
      </c>
      <c r="C31" s="14" t="n">
        <v>27517</v>
      </c>
      <c r="D31" s="14" t="n">
        <v>27517</v>
      </c>
      <c r="E31" s="14" t="n">
        <v>27517</v>
      </c>
      <c r="F31" s="14" t="n">
        <v>27517</v>
      </c>
      <c r="G31" s="14" t="n">
        <v>27517</v>
      </c>
      <c r="H31" s="14" t="n"/>
      <c r="I31" s="10">
        <f>SUM(C31:H31)</f>
        <v/>
      </c>
      <c r="J31" s="41">
        <f>'ウェルピア羽島_上期_7-12月'!I34</f>
        <v/>
      </c>
      <c r="K31" s="42">
        <f>I31+J31</f>
        <v/>
      </c>
    </row>
    <row r="32" ht="13" customHeight="1">
      <c r="A32" s="8" t="inlineStr">
        <is>
          <t>26</t>
        </is>
      </c>
      <c r="B32" s="8" t="inlineStr">
        <is>
          <t xml:space="preserve">  ぎしん　保険</t>
        </is>
      </c>
      <c r="C32" s="14" t="n">
        <v>50000</v>
      </c>
      <c r="D32" s="14" t="n">
        <v>50000</v>
      </c>
      <c r="E32" s="14" t="n">
        <v>50000</v>
      </c>
      <c r="F32" s="14" t="n">
        <v>50000</v>
      </c>
      <c r="G32" s="14" t="n">
        <v>50000</v>
      </c>
      <c r="H32" s="14" t="n"/>
      <c r="I32" s="10">
        <f>SUM(C32:H32)</f>
        <v/>
      </c>
      <c r="J32" s="41">
        <f>'ウェルピア羽島_上期_7-12月'!I35</f>
        <v/>
      </c>
      <c r="K32" s="42">
        <f>I32+J32</f>
        <v/>
      </c>
    </row>
    <row r="33" ht="13" customHeight="1">
      <c r="A33" s="8" t="inlineStr"/>
      <c r="B33" s="8" t="inlineStr">
        <is>
          <t xml:space="preserve">  アルファード　保険</t>
        </is>
      </c>
      <c r="C33" s="14" t="n">
        <v>20030</v>
      </c>
      <c r="D33" s="14" t="n">
        <v>20030</v>
      </c>
      <c r="E33" s="14" t="n">
        <v>20030</v>
      </c>
      <c r="F33" s="14" t="n">
        <v>20030</v>
      </c>
      <c r="G33" s="14" t="n">
        <v>20030</v>
      </c>
      <c r="H33" s="14" t="n"/>
      <c r="I33" s="10">
        <f>SUM(C33:H33)</f>
        <v/>
      </c>
      <c r="J33" s="41">
        <f>'ウェルピア羽島_上期_7-12月'!I36</f>
        <v/>
      </c>
      <c r="K33" s="42">
        <f>I33+J33</f>
        <v/>
      </c>
    </row>
    <row r="34" ht="13" customHeight="1">
      <c r="A34" s="8" t="inlineStr"/>
      <c r="B34" s="8" t="inlineStr">
        <is>
          <t xml:space="preserve">  谷汲太陽光　（年一回）389080</t>
        </is>
      </c>
      <c r="C34" s="9" t="n"/>
      <c r="D34" s="9" t="n"/>
      <c r="E34" s="9" t="n"/>
      <c r="F34" s="9" t="n"/>
      <c r="G34" s="9" t="n"/>
      <c r="H34" s="9" t="n"/>
      <c r="I34" s="10">
        <f>SUM(C34:H34)</f>
        <v/>
      </c>
      <c r="J34" s="41">
        <f>'ウェルピア羽島_上期_7-12月'!I37</f>
        <v/>
      </c>
      <c r="K34" s="42">
        <f>I34+J34</f>
        <v/>
      </c>
    </row>
    <row r="35" ht="1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3" t="n"/>
      <c r="J35" s="43" t="n"/>
      <c r="K35" s="44" t="n"/>
    </row>
    <row r="36" ht="14" customHeight="1">
      <c r="A36" s="4" t="n"/>
      <c r="B36" s="5" t="inlineStr">
        <is>
          <t>▶ リース料</t>
        </is>
      </c>
      <c r="C36" s="6">
        <f>SUM(C37:C39)</f>
        <v/>
      </c>
      <c r="D36" s="6">
        <f>SUM(D37:D39)</f>
        <v/>
      </c>
      <c r="E36" s="6">
        <f>SUM(E37:E39)</f>
        <v/>
      </c>
      <c r="F36" s="6">
        <f>SUM(F37:F39)</f>
        <v/>
      </c>
      <c r="G36" s="6">
        <f>SUM(G37:G39)</f>
        <v/>
      </c>
      <c r="H36" s="6">
        <f>SUM(H37:H39)</f>
        <v/>
      </c>
      <c r="I36" s="7">
        <f>SUM(I37:I39)</f>
        <v/>
      </c>
      <c r="J36" s="39">
        <f>SUM(J37:J39)</f>
        <v/>
      </c>
      <c r="K36" s="40">
        <f>SUM(K37:K39)</f>
        <v/>
      </c>
    </row>
    <row r="37" ht="13" customHeight="1">
      <c r="A37" s="8" t="inlineStr"/>
      <c r="B37" s="8" t="inlineStr">
        <is>
          <t xml:space="preserve">  しんきんコピー機リース</t>
        </is>
      </c>
      <c r="C37" s="14" t="n">
        <v>13860</v>
      </c>
      <c r="D37" s="14" t="n">
        <v>13860</v>
      </c>
      <c r="E37" s="14" t="n">
        <v>13860</v>
      </c>
      <c r="F37" s="14" t="n">
        <v>13860</v>
      </c>
      <c r="G37" s="14" t="n">
        <v>13860</v>
      </c>
      <c r="H37" s="14" t="n"/>
      <c r="I37" s="10">
        <f>SUM(C37:H37)</f>
        <v/>
      </c>
      <c r="J37" s="41">
        <f>'ウェルピア羽島_上期_7-12月'!I40</f>
        <v/>
      </c>
      <c r="K37" s="42">
        <f>I37+J37</f>
        <v/>
      </c>
    </row>
    <row r="38" ht="13" customHeight="1">
      <c r="A38" s="8" t="inlineStr"/>
      <c r="B38" s="8" t="inlineStr">
        <is>
          <t xml:space="preserve">  しんきん什器　B47二階　R8.3月迄</t>
        </is>
      </c>
      <c r="C38" s="14" t="n">
        <v>137720</v>
      </c>
      <c r="D38" s="14" t="n">
        <v>137720</v>
      </c>
      <c r="E38" s="14" t="n">
        <v>137720</v>
      </c>
      <c r="F38" s="14" t="n"/>
      <c r="G38" s="14" t="n"/>
      <c r="H38" s="14" t="n"/>
      <c r="I38" s="10">
        <f>SUM(C38:H38)</f>
        <v/>
      </c>
      <c r="J38" s="41">
        <f>'ウェルピア羽島_上期_7-12月'!I42</f>
        <v/>
      </c>
      <c r="K38" s="42">
        <f>I38+J38</f>
        <v/>
      </c>
    </row>
    <row r="39" ht="1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3" t="n"/>
      <c r="J39" s="43" t="n"/>
      <c r="K39" s="44" t="n"/>
    </row>
    <row r="40" ht="14" customHeight="1">
      <c r="A40" s="4" t="n"/>
      <c r="B40" s="5" t="inlineStr">
        <is>
          <t>▶ 通信費</t>
        </is>
      </c>
      <c r="C40" s="6">
        <f>SUM(C41:C43)</f>
        <v/>
      </c>
      <c r="D40" s="6">
        <f>SUM(D41:D43)</f>
        <v/>
      </c>
      <c r="E40" s="6">
        <f>SUM(E41:E43)</f>
        <v/>
      </c>
      <c r="F40" s="6">
        <f>SUM(F41:F43)</f>
        <v/>
      </c>
      <c r="G40" s="6">
        <f>SUM(G41:G43)</f>
        <v/>
      </c>
      <c r="H40" s="6">
        <f>SUM(H41:H43)</f>
        <v/>
      </c>
      <c r="I40" s="7">
        <f>SUM(I41:I43)</f>
        <v/>
      </c>
      <c r="J40" s="39">
        <f>SUM(J41:J43)</f>
        <v/>
      </c>
      <c r="K40" s="40">
        <f>SUM(K41:K43)</f>
        <v/>
      </c>
    </row>
    <row r="41" ht="13" customHeight="1">
      <c r="A41" s="8" t="inlineStr">
        <is>
          <t>末</t>
        </is>
      </c>
      <c r="B41" s="8" t="inlineStr">
        <is>
          <t xml:space="preserve">  ゴラック  カウンター</t>
        </is>
      </c>
      <c r="C41" s="9" t="n">
        <v>5924</v>
      </c>
      <c r="D41" s="9" t="n">
        <v>5256</v>
      </c>
      <c r="E41" s="9" t="n">
        <v>5746</v>
      </c>
      <c r="F41" s="9" t="n">
        <v>4337</v>
      </c>
      <c r="G41" s="9" t="n"/>
      <c r="H41" s="9" t="n"/>
      <c r="I41" s="10">
        <f>SUM(C41:H41)</f>
        <v/>
      </c>
      <c r="J41" s="41">
        <f>'ウェルピア羽島_上期_7-12月'!I46</f>
        <v/>
      </c>
      <c r="K41" s="42">
        <f>I41+J41</f>
        <v/>
      </c>
    </row>
    <row r="42" ht="13" customHeight="1">
      <c r="A42" s="8" t="inlineStr"/>
      <c r="B42" s="8" t="inlineStr">
        <is>
          <t xml:space="preserve">  電話料金 NTT</t>
        </is>
      </c>
      <c r="C42" s="9" t="n"/>
      <c r="D42" s="9" t="n"/>
      <c r="E42" s="9" t="n">
        <v>8034</v>
      </c>
      <c r="F42" s="9" t="n"/>
      <c r="G42" s="9" t="n"/>
      <c r="H42" s="9" t="n"/>
      <c r="I42" s="10">
        <f>SUM(C42:H42)</f>
        <v/>
      </c>
      <c r="J42" s="41">
        <f>'ウェルピア羽島_上期_7-12月'!I47</f>
        <v/>
      </c>
      <c r="K42" s="42">
        <f>I42+J42</f>
        <v/>
      </c>
    </row>
    <row r="43" ht="1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3" t="n"/>
      <c r="J43" s="43" t="n"/>
      <c r="K43" s="44" t="n"/>
    </row>
    <row r="44" ht="14" customHeight="1">
      <c r="A44" s="4" t="n"/>
      <c r="B44" s="5" t="inlineStr">
        <is>
          <t>▶ 車両費</t>
        </is>
      </c>
      <c r="C44" s="6">
        <f>SUM(C45:C47)</f>
        <v/>
      </c>
      <c r="D44" s="6">
        <f>SUM(D45:D47)</f>
        <v/>
      </c>
      <c r="E44" s="6">
        <f>SUM(E45:E47)</f>
        <v/>
      </c>
      <c r="F44" s="6">
        <f>SUM(F45:F47)</f>
        <v/>
      </c>
      <c r="G44" s="6">
        <f>SUM(G45:G47)</f>
        <v/>
      </c>
      <c r="H44" s="6">
        <f>SUM(H45:H47)</f>
        <v/>
      </c>
      <c r="I44" s="7">
        <f>SUM(I45:I47)</f>
        <v/>
      </c>
      <c r="J44" s="39">
        <f>SUM(J45:J47)</f>
        <v/>
      </c>
      <c r="K44" s="40">
        <f>SUM(K45:K47)</f>
        <v/>
      </c>
    </row>
    <row r="45" ht="13" customHeight="1">
      <c r="A45" s="8" t="inlineStr"/>
      <c r="B45" s="8" t="inlineStr">
        <is>
          <t xml:space="preserve">  大日　車６台携帯２台貸与</t>
        </is>
      </c>
      <c r="C45" s="14" t="n">
        <v>110000</v>
      </c>
      <c r="D45" s="14" t="n">
        <v>110000</v>
      </c>
      <c r="E45" s="14" t="n">
        <v>110000</v>
      </c>
      <c r="F45" s="14" t="n">
        <v>110000</v>
      </c>
      <c r="G45" s="14" t="n">
        <v>110000</v>
      </c>
      <c r="H45" s="14" t="n"/>
      <c r="I45" s="10">
        <f>SUM(C45:H45)</f>
        <v/>
      </c>
      <c r="J45" s="41">
        <f>'ウェルピア羽島_上期_7-12月'!I50</f>
        <v/>
      </c>
      <c r="K45" s="42">
        <f>I45+J45</f>
        <v/>
      </c>
    </row>
    <row r="46" ht="13" customHeight="1">
      <c r="A46" s="8" t="inlineStr"/>
      <c r="B46" s="8" t="inlineStr">
        <is>
          <t xml:space="preserve">  アルファード修理</t>
        </is>
      </c>
      <c r="C46" s="9" t="n"/>
      <c r="D46" s="9" t="n"/>
      <c r="E46" s="9" t="n"/>
      <c r="F46" s="9" t="n">
        <v>103862</v>
      </c>
      <c r="G46" s="9" t="n"/>
      <c r="H46" s="9" t="n"/>
      <c r="I46" s="10">
        <f>SUM(C46:H46)</f>
        <v/>
      </c>
      <c r="J46" s="41" t="n"/>
      <c r="K46" s="42">
        <f>I46+J46</f>
        <v/>
      </c>
    </row>
    <row r="47" ht="1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3" t="n"/>
      <c r="J47" s="43" t="n"/>
      <c r="K47" s="44" t="n"/>
    </row>
    <row r="48" ht="14" customHeight="1">
      <c r="A48" s="4" t="n"/>
      <c r="B48" s="5" t="inlineStr">
        <is>
          <t>▶ 雑費/消耗品</t>
        </is>
      </c>
      <c r="C48" s="6">
        <f>SUM(C49:C64)</f>
        <v/>
      </c>
      <c r="D48" s="6">
        <f>SUM(D49:D64)</f>
        <v/>
      </c>
      <c r="E48" s="6">
        <f>SUM(E49:E64)</f>
        <v/>
      </c>
      <c r="F48" s="6">
        <f>SUM(F49:F64)</f>
        <v/>
      </c>
      <c r="G48" s="6">
        <f>SUM(G49:G64)</f>
        <v/>
      </c>
      <c r="H48" s="6">
        <f>SUM(H49:H64)</f>
        <v/>
      </c>
      <c r="I48" s="7">
        <f>SUM(I49:I64)</f>
        <v/>
      </c>
      <c r="J48" s="39">
        <f>SUM(J49:J64)</f>
        <v/>
      </c>
      <c r="K48" s="40">
        <f>SUM(K49:K64)</f>
        <v/>
      </c>
    </row>
    <row r="49" ht="13" customHeight="1">
      <c r="A49" s="8" t="inlineStr"/>
      <c r="B49" s="8" t="inlineStr">
        <is>
          <t xml:space="preserve">  BIZバンク　利用料</t>
        </is>
      </c>
      <c r="C49" s="14" t="n">
        <v>1620</v>
      </c>
      <c r="D49" s="14" t="n">
        <v>1620</v>
      </c>
      <c r="E49" s="14" t="n">
        <v>1620</v>
      </c>
      <c r="F49" s="14" t="n">
        <v>1620</v>
      </c>
      <c r="G49" s="14" t="n">
        <v>1620</v>
      </c>
      <c r="H49" s="14" t="n"/>
      <c r="I49" s="10">
        <f>SUM(C49:H49)</f>
        <v/>
      </c>
      <c r="J49" s="41">
        <f>'ウェルピア羽島_上期_7-12月'!I54</f>
        <v/>
      </c>
      <c r="K49" s="42">
        <f>I49+J49</f>
        <v/>
      </c>
    </row>
    <row r="50" ht="13" customHeight="1">
      <c r="A50" s="8" t="inlineStr">
        <is>
          <t>31</t>
        </is>
      </c>
      <c r="B50" s="8" t="inlineStr">
        <is>
          <t xml:space="preserve">  技研サービス</t>
        </is>
      </c>
      <c r="C50" s="14" t="n">
        <v>462000</v>
      </c>
      <c r="D50" s="14" t="n">
        <v>462000</v>
      </c>
      <c r="E50" s="14" t="n">
        <v>462000</v>
      </c>
      <c r="F50" s="14" t="n">
        <v>462000</v>
      </c>
      <c r="G50" s="14" t="n">
        <v>462000</v>
      </c>
      <c r="H50" s="14" t="n"/>
      <c r="I50" s="10">
        <f>SUM(C50:H50)</f>
        <v/>
      </c>
      <c r="J50" s="41">
        <f>'ウェルピア羽島_上期_7-12月'!I55</f>
        <v/>
      </c>
      <c r="K50" s="42">
        <f>I50+J50</f>
        <v/>
      </c>
    </row>
    <row r="51" ht="13" customHeight="1">
      <c r="A51" s="8" t="inlineStr">
        <is>
          <t>10</t>
        </is>
      </c>
      <c r="B51" s="8" t="inlineStr">
        <is>
          <t xml:space="preserve">  振込手数料</t>
        </is>
      </c>
      <c r="C51" s="9" t="n">
        <v>25410</v>
      </c>
      <c r="D51" s="9" t="n">
        <v>26290</v>
      </c>
      <c r="E51" s="9" t="n">
        <v>25410</v>
      </c>
      <c r="F51" s="9" t="n">
        <v>32065</v>
      </c>
      <c r="G51" s="9" t="n"/>
      <c r="H51" s="9" t="n"/>
      <c r="I51" s="10">
        <f>SUM(C51:H51)</f>
        <v/>
      </c>
      <c r="J51" s="41">
        <f>'ウェルピア羽島_上期_7-12月'!I53</f>
        <v/>
      </c>
      <c r="K51" s="42">
        <f>I51+J51</f>
        <v/>
      </c>
    </row>
    <row r="52" ht="13" customHeight="1">
      <c r="A52" s="8" t="inlineStr"/>
      <c r="B52" s="8" t="inlineStr">
        <is>
          <t xml:space="preserve">  リクルート　勤怠管理</t>
        </is>
      </c>
      <c r="C52" s="14" t="n">
        <v>16500</v>
      </c>
      <c r="D52" s="14" t="n"/>
      <c r="E52" s="14" t="n">
        <v>16500</v>
      </c>
      <c r="F52" s="14" t="n">
        <v>16500</v>
      </c>
      <c r="G52" s="14" t="n">
        <v>16500</v>
      </c>
      <c r="H52" s="14" t="n"/>
      <c r="I52" s="10">
        <f>SUM(C52:H52)</f>
        <v/>
      </c>
      <c r="J52" s="41">
        <f>'ウェルピア羽島_上期_7-12月'!I57</f>
        <v/>
      </c>
      <c r="K52" s="42">
        <f>I52+J52</f>
        <v/>
      </c>
    </row>
    <row r="53" ht="13" customHeight="1">
      <c r="A53" s="8" t="inlineStr"/>
      <c r="B53" s="8" t="inlineStr">
        <is>
          <t xml:space="preserve">  リクルート　募集</t>
        </is>
      </c>
      <c r="C53" s="9" t="n"/>
      <c r="D53" s="9" t="n"/>
      <c r="E53" s="9" t="n"/>
      <c r="F53" s="9" t="n"/>
      <c r="G53" s="9" t="n"/>
      <c r="H53" s="9" t="n"/>
      <c r="I53" s="10">
        <f>SUM(C53:H53)</f>
        <v/>
      </c>
      <c r="J53" s="41">
        <f>'ウェルピア羽島_上期_7-12月'!I58</f>
        <v/>
      </c>
      <c r="K53" s="42">
        <f>I53+J53</f>
        <v/>
      </c>
    </row>
    <row r="54" ht="13" customHeight="1">
      <c r="A54" s="8" t="inlineStr"/>
      <c r="B54" s="8" t="inlineStr">
        <is>
          <t xml:space="preserve">  イーコム（BLOCK47　ゴミ回収）</t>
        </is>
      </c>
      <c r="C54" s="9" t="n">
        <v>5962</v>
      </c>
      <c r="D54" s="9" t="n">
        <v>6446</v>
      </c>
      <c r="E54" s="9" t="n">
        <v>5478</v>
      </c>
      <c r="F54" s="9" t="n">
        <v>5841</v>
      </c>
      <c r="G54" s="9" t="n"/>
      <c r="H54" s="9" t="n"/>
      <c r="I54" s="10">
        <f>SUM(C54:H54)</f>
        <v/>
      </c>
      <c r="J54" s="41">
        <f>'ウェルピア羽島_上期_7-12月'!I56</f>
        <v/>
      </c>
      <c r="K54" s="42">
        <f>I54+J54</f>
        <v/>
      </c>
    </row>
    <row r="55" ht="13" customHeight="1">
      <c r="A55" s="8" t="inlineStr"/>
      <c r="B55" s="8" t="inlineStr">
        <is>
          <t xml:space="preserve">  清芳屋</t>
        </is>
      </c>
      <c r="C55" s="9" t="n">
        <v>1690</v>
      </c>
      <c r="D55" s="9" t="n">
        <v>17600</v>
      </c>
      <c r="E55" s="9" t="n">
        <v>24388</v>
      </c>
      <c r="F55" s="9" t="n">
        <v>9965</v>
      </c>
      <c r="G55" s="9" t="n"/>
      <c r="H55" s="9" t="n"/>
      <c r="I55" s="10">
        <f>SUM(C55:H55)</f>
        <v/>
      </c>
      <c r="J55" s="41">
        <f>'ウェルピア羽島_上期_7-12月'!I59</f>
        <v/>
      </c>
      <c r="K55" s="42">
        <f>I55+J55</f>
        <v/>
      </c>
    </row>
    <row r="56" ht="13" customHeight="1">
      <c r="A56" s="8" t="inlineStr"/>
      <c r="B56" s="8" t="inlineStr">
        <is>
          <t xml:space="preserve">  ダスキン</t>
        </is>
      </c>
      <c r="C56" s="14" t="n">
        <v>3476</v>
      </c>
      <c r="D56" s="14" t="n">
        <v>3476</v>
      </c>
      <c r="E56" s="14" t="n">
        <v>3476</v>
      </c>
      <c r="F56" s="14" t="n">
        <v>3476</v>
      </c>
      <c r="G56" s="14" t="n"/>
      <c r="H56" s="14" t="n"/>
      <c r="I56" s="10">
        <f>SUM(C56:H56)</f>
        <v/>
      </c>
      <c r="J56" s="41">
        <f>'ウェルピア羽島_上期_7-12月'!I60</f>
        <v/>
      </c>
      <c r="K56" s="42">
        <f>I56+J56</f>
        <v/>
      </c>
    </row>
    <row r="57" ht="13" customHeight="1">
      <c r="A57" s="8" t="inlineStr">
        <is>
          <t>20</t>
        </is>
      </c>
      <c r="B57" s="8" t="inlineStr">
        <is>
          <t xml:space="preserve">  小口現金</t>
        </is>
      </c>
      <c r="C57" s="9" t="n">
        <v>50000</v>
      </c>
      <c r="D57" s="9" t="n"/>
      <c r="E57" s="9" t="n">
        <v>150000</v>
      </c>
      <c r="F57" s="9" t="n">
        <v>100000</v>
      </c>
      <c r="G57" s="9" t="n"/>
      <c r="H57" s="9" t="n"/>
      <c r="I57" s="10">
        <f>SUM(C57:H57)</f>
        <v/>
      </c>
      <c r="J57" s="41">
        <f>'ウェルピア羽島_上期_7-12月'!I63</f>
        <v/>
      </c>
      <c r="K57" s="42">
        <f>I57+J57</f>
        <v/>
      </c>
    </row>
    <row r="58" ht="13" customHeight="1">
      <c r="A58" s="8" t="inlineStr"/>
      <c r="B58" s="8" t="inlineStr">
        <is>
          <t xml:space="preserve">  大共　社長カード交際費</t>
        </is>
      </c>
      <c r="C58" s="9" t="n"/>
      <c r="D58" s="9" t="n">
        <v>11000</v>
      </c>
      <c r="E58" s="9" t="n">
        <v>67521</v>
      </c>
      <c r="F58" s="9" t="n">
        <v>66431</v>
      </c>
      <c r="G58" s="9" t="n"/>
      <c r="H58" s="9" t="n"/>
      <c r="I58" s="10">
        <f>SUM(C58:H58)</f>
        <v/>
      </c>
      <c r="J58" s="41">
        <f>'ウェルピア羽島_上期_7-12月'!I61</f>
        <v/>
      </c>
      <c r="K58" s="42">
        <f>I58+J58</f>
        <v/>
      </c>
    </row>
    <row r="59" ht="13" customHeight="1">
      <c r="A59" s="8" t="inlineStr"/>
      <c r="B59" s="8" t="inlineStr">
        <is>
          <t xml:space="preserve">  モノタロウ</t>
        </is>
      </c>
      <c r="C59" s="9" t="n">
        <v>1758</v>
      </c>
      <c r="D59" s="9" t="n"/>
      <c r="E59" s="9" t="n"/>
      <c r="F59" s="9" t="n">
        <v>456962</v>
      </c>
      <c r="G59" s="9" t="n"/>
      <c r="H59" s="9" t="n"/>
      <c r="I59" s="10">
        <f>SUM(C59:H59)</f>
        <v/>
      </c>
      <c r="J59" s="41" t="n"/>
      <c r="K59" s="42">
        <f>I59+J59</f>
        <v/>
      </c>
    </row>
    <row r="60" ht="13" customHeight="1">
      <c r="A60" s="8" t="inlineStr"/>
      <c r="B60" s="8" t="inlineStr">
        <is>
          <t xml:space="preserve">  クラシアン</t>
        </is>
      </c>
      <c r="C60" s="9" t="n">
        <v>44286</v>
      </c>
      <c r="D60" s="9" t="n"/>
      <c r="E60" s="9" t="n"/>
      <c r="F60" s="9" t="n"/>
      <c r="G60" s="9" t="n"/>
      <c r="H60" s="9" t="n"/>
      <c r="I60" s="10">
        <f>SUM(C60:H60)</f>
        <v/>
      </c>
      <c r="J60" s="41" t="n"/>
      <c r="K60" s="42">
        <f>I60+J60</f>
        <v/>
      </c>
    </row>
    <row r="61" ht="13" customHeight="1">
      <c r="A61" s="8" t="inlineStr"/>
      <c r="B61" s="8" t="inlineStr">
        <is>
          <t xml:space="preserve">  ノウビー　勤怠管理</t>
        </is>
      </c>
      <c r="C61" s="9" t="n"/>
      <c r="D61" s="9" t="n">
        <v>16500</v>
      </c>
      <c r="E61" s="9" t="n"/>
      <c r="F61" s="9" t="n"/>
      <c r="G61" s="9" t="n"/>
      <c r="H61" s="9" t="n"/>
      <c r="I61" s="10">
        <f>SUM(C61:H61)</f>
        <v/>
      </c>
      <c r="J61" s="41" t="n"/>
      <c r="K61" s="42">
        <f>I61+J61</f>
        <v/>
      </c>
    </row>
    <row r="62" ht="13" customHeight="1">
      <c r="A62" s="8" t="inlineStr"/>
      <c r="B62" s="8" t="inlineStr">
        <is>
          <t xml:space="preserve">  大日産業へ</t>
        </is>
      </c>
      <c r="C62" s="9" t="n"/>
      <c r="D62" s="9" t="n"/>
      <c r="E62" s="9" t="n">
        <v>1054030</v>
      </c>
      <c r="F62" s="9" t="n"/>
      <c r="G62" s="9" t="n"/>
      <c r="H62" s="9" t="n"/>
      <c r="I62" s="10">
        <f>SUM(C62:H62)</f>
        <v/>
      </c>
      <c r="J62" s="41">
        <f>'ウェルピア羽島_上期_7-12月'!I64</f>
        <v/>
      </c>
      <c r="K62" s="42">
        <f>I62+J62</f>
        <v/>
      </c>
    </row>
    <row r="63" ht="13" customHeight="1">
      <c r="A63" s="8" t="inlineStr"/>
      <c r="B63" s="8" t="inlineStr">
        <is>
          <t xml:space="preserve">  残置物処理</t>
        </is>
      </c>
      <c r="C63" s="9" t="n"/>
      <c r="D63" s="9" t="n"/>
      <c r="E63" s="9" t="n">
        <v>158400</v>
      </c>
      <c r="F63" s="9" t="n"/>
      <c r="G63" s="9" t="n"/>
      <c r="H63" s="9" t="n"/>
      <c r="I63" s="10">
        <f>SUM(C63:H63)</f>
        <v/>
      </c>
      <c r="J63" s="41" t="n"/>
      <c r="K63" s="42">
        <f>I63+J63</f>
        <v/>
      </c>
    </row>
    <row r="64" ht="12" customHeight="1">
      <c r="A64" s="11" t="n"/>
      <c r="B64" s="11" t="n"/>
      <c r="C64" s="12" t="n"/>
      <c r="D64" s="12" t="n"/>
      <c r="E64" s="12" t="n"/>
      <c r="F64" s="12" t="n"/>
      <c r="G64" s="12" t="n"/>
      <c r="H64" s="12" t="n"/>
      <c r="I64" s="13" t="n"/>
      <c r="J64" s="43" t="n"/>
      <c r="K64" s="44" t="n"/>
    </row>
    <row r="65" ht="14" customHeight="1">
      <c r="A65" s="4" t="n"/>
      <c r="B65" s="5" t="inlineStr">
        <is>
          <t>▶ 銀行返済</t>
        </is>
      </c>
      <c r="C65" s="6">
        <f>SUM(C66:C70)</f>
        <v/>
      </c>
      <c r="D65" s="6">
        <f>SUM(D66:D70)</f>
        <v/>
      </c>
      <c r="E65" s="6">
        <f>SUM(E66:E70)</f>
        <v/>
      </c>
      <c r="F65" s="6">
        <f>SUM(F66:F70)</f>
        <v/>
      </c>
      <c r="G65" s="6">
        <f>SUM(G66:G70)</f>
        <v/>
      </c>
      <c r="H65" s="6">
        <f>SUM(H66:H70)</f>
        <v/>
      </c>
      <c r="I65" s="7">
        <f>SUM(I66:I70)</f>
        <v/>
      </c>
      <c r="J65" s="39">
        <f>SUM(J66:J70)</f>
        <v/>
      </c>
      <c r="K65" s="40">
        <f>SUM(K66:K70)</f>
        <v/>
      </c>
    </row>
    <row r="66" ht="13" customHeight="1">
      <c r="A66" s="8" t="inlineStr">
        <is>
          <t>10</t>
        </is>
      </c>
      <c r="B66" s="8" t="inlineStr">
        <is>
          <t xml:space="preserve">  医療福祉機構600万（5回〜8回）</t>
        </is>
      </c>
      <c r="C66" s="9" t="n">
        <v>41240</v>
      </c>
      <c r="D66" s="9" t="n">
        <v>41239</v>
      </c>
      <c r="E66" s="9" t="n">
        <v>41237</v>
      </c>
      <c r="F66" s="9" t="n">
        <v>41235</v>
      </c>
      <c r="G66" s="9" t="n"/>
      <c r="H66" s="9" t="n"/>
      <c r="I66" s="10">
        <f>SUM(C66:H66)</f>
        <v/>
      </c>
      <c r="J66" s="41">
        <f>'ウェルピア羽島_上期_7-12月'!I76</f>
        <v/>
      </c>
      <c r="K66" s="42">
        <f>I66+J66</f>
        <v/>
      </c>
    </row>
    <row r="67" ht="13" customHeight="1">
      <c r="A67" s="8" t="inlineStr">
        <is>
          <t>末</t>
        </is>
      </c>
      <c r="B67" s="8" t="inlineStr">
        <is>
          <t xml:space="preserve">  大垣共立1000万　太陽光（19回〜22回）</t>
        </is>
      </c>
      <c r="C67" s="9" t="n">
        <v>128587</v>
      </c>
      <c r="D67" s="9" t="n">
        <v>128755</v>
      </c>
      <c r="E67" s="9" t="n">
        <v>130451</v>
      </c>
      <c r="F67" s="9" t="n">
        <v>130969</v>
      </c>
      <c r="G67" s="9" t="n"/>
      <c r="H67" s="9" t="n"/>
      <c r="I67" s="10">
        <f>SUM(C67:H67)</f>
        <v/>
      </c>
      <c r="J67" s="41">
        <f>'ウェルピア羽島_上期_7-12月'!I74</f>
        <v/>
      </c>
      <c r="K67" s="42">
        <f>I67+J67</f>
        <v/>
      </c>
    </row>
    <row r="68" ht="13" customHeight="1">
      <c r="A68" s="8" t="inlineStr">
        <is>
          <t>末</t>
        </is>
      </c>
      <c r="B68" s="8" t="inlineStr">
        <is>
          <t xml:space="preserve">  保証協会2500万　太陽光（7回〜10回）</t>
        </is>
      </c>
      <c r="C68" s="9" t="n">
        <v>241566</v>
      </c>
      <c r="D68" s="9" t="n">
        <v>242429</v>
      </c>
      <c r="E68" s="9" t="n">
        <v>243272</v>
      </c>
      <c r="F68" s="9" t="n">
        <v>245226</v>
      </c>
      <c r="G68" s="9" t="n"/>
      <c r="H68" s="9" t="n"/>
      <c r="I68" s="10">
        <f>SUM(C68:H68)</f>
        <v/>
      </c>
      <c r="J68" s="41">
        <f>'ウェルピア羽島_上期_7-12月'!I73</f>
        <v/>
      </c>
      <c r="K68" s="42">
        <f>I68+J68</f>
        <v/>
      </c>
    </row>
    <row r="69" ht="13" customHeight="1">
      <c r="A69" s="8" t="inlineStr">
        <is>
          <t>末</t>
        </is>
      </c>
      <c r="B69" s="8" t="inlineStr">
        <is>
          <t xml:space="preserve">  大垣共立2500万　太陽光（7回〜10回）</t>
        </is>
      </c>
      <c r="C69" s="9" t="n">
        <v>252399</v>
      </c>
      <c r="D69" s="9" t="n">
        <v>253550</v>
      </c>
      <c r="E69" s="9" t="n">
        <v>254673</v>
      </c>
      <c r="F69" s="9" t="n">
        <v>257278</v>
      </c>
      <c r="G69" s="9" t="n"/>
      <c r="H69" s="9" t="n"/>
      <c r="I69" s="10">
        <f>SUM(C69:H69)</f>
        <v/>
      </c>
      <c r="J69" s="41">
        <f>'ウェルピア羽島_上期_7-12月'!I72</f>
        <v/>
      </c>
      <c r="K69" s="42">
        <f>I69+J69</f>
        <v/>
      </c>
    </row>
    <row r="70" ht="12" customHeight="1">
      <c r="A70" s="11" t="n"/>
      <c r="B70" s="11" t="n"/>
      <c r="C70" s="12" t="n"/>
      <c r="D70" s="12" t="n"/>
      <c r="E70" s="12" t="n"/>
      <c r="F70" s="12" t="n"/>
      <c r="G70" s="12" t="n"/>
      <c r="H70" s="12" t="n"/>
      <c r="I70" s="13" t="n"/>
      <c r="J70" s="43" t="n"/>
      <c r="K70" s="44" t="n"/>
    </row>
    <row r="71" ht="15" customHeight="1">
      <c r="A71" s="15" t="n"/>
      <c r="B71" s="16" t="inlineStr">
        <is>
          <t>① 支出合計</t>
        </is>
      </c>
      <c r="C71" s="17">
        <f>C4+C14+C20+C26+C30+C36+C40+C44+C48+C65</f>
        <v/>
      </c>
      <c r="D71" s="17">
        <f>D4+D14+D20+D26+D30+D36+D40+D44+D48+D65</f>
        <v/>
      </c>
      <c r="E71" s="17">
        <f>E4+E14+E20+E26+E30+E36+E40+E44+E48+E65</f>
        <v/>
      </c>
      <c r="F71" s="17">
        <f>F4+F14+F20+F26+F30+F36+F40+F44+F48+F65</f>
        <v/>
      </c>
      <c r="G71" s="17">
        <f>G4+G14+G20+G26+G30+G36+G40+G44+G48+G65</f>
        <v/>
      </c>
      <c r="H71" s="17">
        <f>H4+H14+H20+H26+H30+H36+H40+H44+H48+H65</f>
        <v/>
      </c>
      <c r="I71" s="7">
        <f>I4+I14+I20+I26+I30+I36+I40+I44+I48+I65</f>
        <v/>
      </c>
      <c r="J71" s="39">
        <f>J4+J14+J20+J26+J30+J36+J40+J44+J48+J65</f>
        <v/>
      </c>
      <c r="K71" s="40">
        <f>K4+K14+K20+K26+K30+K36+K40+K44+K48+K65</f>
        <v/>
      </c>
    </row>
    <row r="73" ht="16" customHeight="1">
      <c r="A73" s="18" t="inlineStr">
        <is>
          <t>【 ② 収　入（売上・粗利・雑収入など） 】</t>
        </is>
      </c>
    </row>
    <row r="74" ht="14" customHeight="1">
      <c r="A74" s="19" t="n"/>
      <c r="B74" s="20" t="inlineStr">
        <is>
          <t>▶ 収入・支出項目</t>
        </is>
      </c>
      <c r="C74" s="21">
        <f>SUM(C75:C82)</f>
        <v/>
      </c>
      <c r="D74" s="21">
        <f>SUM(D75:D82)</f>
        <v/>
      </c>
      <c r="E74" s="21">
        <f>SUM(E75:E82)</f>
        <v/>
      </c>
      <c r="F74" s="21">
        <f>SUM(F75:F82)</f>
        <v/>
      </c>
      <c r="G74" s="21">
        <f>SUM(G75:G82)</f>
        <v/>
      </c>
      <c r="H74" s="21">
        <f>SUM(H75:H82)</f>
        <v/>
      </c>
      <c r="I74" s="7">
        <f>SUM(I75:I82)</f>
        <v/>
      </c>
      <c r="J74" s="39">
        <f>SUM(J75:J82)</f>
        <v/>
      </c>
      <c r="K74" s="40">
        <f>SUM(K75:K82)</f>
        <v/>
      </c>
    </row>
    <row r="75" ht="13" customHeight="1">
      <c r="A75" s="22" t="inlineStr">
        <is>
          <t>10</t>
        </is>
      </c>
      <c r="B75" s="22" t="inlineStr">
        <is>
          <t xml:space="preserve">  大日産業　業務委託料</t>
        </is>
      </c>
      <c r="C75" s="24" t="n">
        <v>1650000</v>
      </c>
      <c r="D75" s="24" t="n">
        <v>1650000</v>
      </c>
      <c r="E75" s="24" t="n">
        <v>1650000</v>
      </c>
      <c r="F75" s="24" t="n">
        <v>1650000</v>
      </c>
      <c r="G75" s="24" t="n">
        <v>1650000</v>
      </c>
      <c r="H75" s="24" t="n"/>
      <c r="I75" s="10">
        <f>SUM(C75:H75)</f>
        <v/>
      </c>
      <c r="J75" s="41">
        <f>'ウェルピア羽島_上期_7-12月'!I84</f>
        <v/>
      </c>
      <c r="K75" s="42">
        <f>I75+J75</f>
        <v/>
      </c>
    </row>
    <row r="76" ht="13" customHeight="1">
      <c r="A76" s="22" t="inlineStr">
        <is>
          <t>末</t>
        </is>
      </c>
      <c r="B76" s="22" t="inlineStr">
        <is>
          <t xml:space="preserve">  AJ　清掃</t>
        </is>
      </c>
      <c r="C76" s="24" t="n">
        <v>660000</v>
      </c>
      <c r="D76" s="24" t="n">
        <v>660000</v>
      </c>
      <c r="E76" s="24" t="n">
        <v>660000</v>
      </c>
      <c r="F76" s="24" t="n">
        <v>660000</v>
      </c>
      <c r="G76" s="24" t="n">
        <v>660000</v>
      </c>
      <c r="H76" s="24" t="n"/>
      <c r="I76" s="10">
        <f>SUM(C76:H76)</f>
        <v/>
      </c>
      <c r="J76" s="41">
        <f>'ウェルピア羽島_上期_7-12月'!I87</f>
        <v/>
      </c>
      <c r="K76" s="42">
        <f>I76+J76</f>
        <v/>
      </c>
    </row>
    <row r="77" ht="13" customHeight="1">
      <c r="A77" s="22" t="inlineStr">
        <is>
          <t>20</t>
        </is>
      </c>
      <c r="B77" s="22" t="inlineStr">
        <is>
          <t xml:space="preserve">  サービス訓練費</t>
        </is>
      </c>
      <c r="C77" s="23" t="n">
        <v>10121061</v>
      </c>
      <c r="D77" s="23" t="n">
        <v>10441697</v>
      </c>
      <c r="E77" s="23" t="n">
        <v>10497168</v>
      </c>
      <c r="F77" s="23" t="n">
        <v>9481803</v>
      </c>
      <c r="G77" s="23" t="n"/>
      <c r="H77" s="23" t="n"/>
      <c r="I77" s="10">
        <f>SUM(C77:H77)</f>
        <v/>
      </c>
      <c r="J77" s="41">
        <f>'ウェルピア羽島_上期_7-12月'!I83</f>
        <v/>
      </c>
      <c r="K77" s="42">
        <f>I77+J77</f>
        <v/>
      </c>
    </row>
    <row r="78" ht="13" customHeight="1">
      <c r="A78" s="22" t="inlineStr"/>
      <c r="B78" s="22" t="inlineStr">
        <is>
          <t xml:space="preserve">  正木　太陽光収入前月分</t>
        </is>
      </c>
      <c r="C78" s="23" t="n">
        <v>91594</v>
      </c>
      <c r="D78" s="23" t="n">
        <v>92693</v>
      </c>
      <c r="E78" s="23" t="n">
        <v>100742</v>
      </c>
      <c r="F78" s="23" t="n">
        <v>125779</v>
      </c>
      <c r="G78" s="23" t="n"/>
      <c r="H78" s="23" t="n"/>
      <c r="I78" s="10">
        <f>SUM(C78:H78)</f>
        <v/>
      </c>
      <c r="J78" s="41" t="n"/>
      <c r="K78" s="42">
        <f>I78+J78</f>
        <v/>
      </c>
    </row>
    <row r="79" ht="13" customHeight="1">
      <c r="A79" s="22" t="inlineStr"/>
      <c r="B79" s="22" t="inlineStr">
        <is>
          <t xml:space="preserve">  谷汲　太陽光収入前月分</t>
        </is>
      </c>
      <c r="C79" s="23" t="n">
        <v>480270</v>
      </c>
      <c r="D79" s="23" t="n">
        <v>423537</v>
      </c>
      <c r="E79" s="23" t="n">
        <v>286507</v>
      </c>
      <c r="F79" s="23" t="n">
        <v>647815</v>
      </c>
      <c r="G79" s="23" t="n"/>
      <c r="H79" s="23" t="n"/>
      <c r="I79" s="10">
        <f>SUM(C79:H79)</f>
        <v/>
      </c>
      <c r="J79" s="41" t="n"/>
      <c r="K79" s="42">
        <f>I79+J79</f>
        <v/>
      </c>
    </row>
    <row r="80" ht="13" customHeight="1">
      <c r="A80" s="22" t="inlineStr"/>
      <c r="B80" s="22" t="inlineStr">
        <is>
          <t xml:space="preserve">  特開金　その他　助成金</t>
        </is>
      </c>
      <c r="C80" s="23" t="n">
        <v>333333</v>
      </c>
      <c r="D80" s="23" t="n">
        <v>133333</v>
      </c>
      <c r="E80" s="23" t="n">
        <v>200000</v>
      </c>
      <c r="F80" s="23" t="n"/>
      <c r="G80" s="23" t="n"/>
      <c r="H80" s="23" t="n"/>
      <c r="I80" s="10">
        <f>SUM(C80:H80)</f>
        <v/>
      </c>
      <c r="J80" s="41">
        <f>'ウェルピア羽島_上期_7-12月'!I88</f>
        <v/>
      </c>
      <c r="K80" s="42">
        <f>I80+J80</f>
        <v/>
      </c>
    </row>
    <row r="81" ht="13" customHeight="1">
      <c r="A81" s="22" t="inlineStr"/>
      <c r="B81" s="22" t="inlineStr">
        <is>
          <t xml:space="preserve">  雇用調整/キャリアUP/奨励金</t>
        </is>
      </c>
      <c r="C81" s="23" t="n"/>
      <c r="D81" s="23" t="n">
        <v>402500</v>
      </c>
      <c r="E81" s="23" t="n">
        <v>362000</v>
      </c>
      <c r="F81" s="23" t="n"/>
      <c r="G81" s="23" t="n"/>
      <c r="H81" s="23" t="n"/>
      <c r="I81" s="10">
        <f>SUM(C81:H81)</f>
        <v/>
      </c>
      <c r="J81" s="41">
        <f>'ウェルピア羽島_上期_7-12月'!I89</f>
        <v/>
      </c>
      <c r="K81" s="42">
        <f>I81+J81</f>
        <v/>
      </c>
    </row>
    <row r="82" ht="12" customHeight="1">
      <c r="A82" s="25" t="n"/>
      <c r="B82" s="25" t="n"/>
      <c r="C82" s="26" t="n"/>
      <c r="D82" s="26" t="n"/>
      <c r="E82" s="26" t="n"/>
      <c r="F82" s="26" t="n"/>
      <c r="G82" s="26" t="n"/>
      <c r="H82" s="26" t="n"/>
      <c r="I82" s="13" t="n"/>
      <c r="J82" s="43" t="n"/>
      <c r="K82" s="44" t="n"/>
    </row>
    <row r="83" ht="15" customHeight="1">
      <c r="A83" s="27" t="n"/>
      <c r="B83" s="28" t="inlineStr">
        <is>
          <t>② 収入合計</t>
        </is>
      </c>
      <c r="C83" s="29">
        <f>C74</f>
        <v/>
      </c>
      <c r="D83" s="29">
        <f>D74</f>
        <v/>
      </c>
      <c r="E83" s="29">
        <f>E74</f>
        <v/>
      </c>
      <c r="F83" s="29">
        <f>F74</f>
        <v/>
      </c>
      <c r="G83" s="29">
        <f>G74</f>
        <v/>
      </c>
      <c r="H83" s="29">
        <f>H74</f>
        <v/>
      </c>
      <c r="I83" s="7">
        <f>I74</f>
        <v/>
      </c>
      <c r="J83" s="39">
        <f>J74</f>
        <v/>
      </c>
      <c r="K83" s="40">
        <f>K74</f>
        <v/>
      </c>
    </row>
    <row r="85" ht="22" customHeight="1">
      <c r="A85" s="30" t="n"/>
      <c r="B85" s="31" t="inlineStr">
        <is>
          <t>① 経　費</t>
        </is>
      </c>
      <c r="C85" s="32">
        <f>C71</f>
        <v/>
      </c>
      <c r="D85" s="32">
        <f>D71</f>
        <v/>
      </c>
      <c r="E85" s="32">
        <f>E71</f>
        <v/>
      </c>
      <c r="F85" s="32">
        <f>F71</f>
        <v/>
      </c>
      <c r="G85" s="32">
        <f>G71</f>
        <v/>
      </c>
      <c r="H85" s="32">
        <f>H71</f>
        <v/>
      </c>
      <c r="I85" s="32">
        <f>I71</f>
        <v/>
      </c>
      <c r="J85" s="32">
        <f>J71</f>
        <v/>
      </c>
      <c r="K85" s="32">
        <f>K71</f>
        <v/>
      </c>
    </row>
    <row r="86" ht="22" customHeight="1">
      <c r="A86" s="33" t="n"/>
      <c r="B86" s="34" t="inlineStr">
        <is>
          <t>② 収　入</t>
        </is>
      </c>
      <c r="C86" s="35">
        <f>C83</f>
        <v/>
      </c>
      <c r="D86" s="35">
        <f>D83</f>
        <v/>
      </c>
      <c r="E86" s="35">
        <f>E83</f>
        <v/>
      </c>
      <c r="F86" s="35">
        <f>F83</f>
        <v/>
      </c>
      <c r="G86" s="35">
        <f>G83</f>
        <v/>
      </c>
      <c r="H86" s="35">
        <f>H83</f>
        <v/>
      </c>
      <c r="I86" s="35">
        <f>I83</f>
        <v/>
      </c>
      <c r="J86" s="35">
        <f>J83</f>
        <v/>
      </c>
      <c r="K86" s="35">
        <f>K83</f>
        <v/>
      </c>
    </row>
    <row r="87" ht="22" customHeight="1">
      <c r="A87" s="36" t="n"/>
      <c r="B87" s="37" t="inlineStr">
        <is>
          <t>③ 収　支  ②－①</t>
        </is>
      </c>
      <c r="C87" s="38">
        <f>C83-C71</f>
        <v/>
      </c>
      <c r="D87" s="38">
        <f>D83-D71</f>
        <v/>
      </c>
      <c r="E87" s="38">
        <f>E83-E71</f>
        <v/>
      </c>
      <c r="F87" s="38">
        <f>F83-F71</f>
        <v/>
      </c>
      <c r="G87" s="38">
        <f>G83-G71</f>
        <v/>
      </c>
      <c r="H87" s="38">
        <f>H83-H71</f>
        <v/>
      </c>
      <c r="I87" s="38">
        <f>I83-I71</f>
        <v/>
      </c>
      <c r="J87" s="38">
        <f>J83-J71</f>
        <v/>
      </c>
      <c r="K87" s="38">
        <f>K83-K71</f>
        <v/>
      </c>
    </row>
  </sheetData>
  <mergeCells count="3">
    <mergeCell ref="A1:K1"/>
    <mergeCell ref="A73:K73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I65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③ ウェルピア山県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　福利</t>
        </is>
      </c>
      <c r="C4" s="6">
        <f>SUM(C5:C12)</f>
        <v/>
      </c>
      <c r="D4" s="6">
        <f>SUM(D5:D12)</f>
        <v/>
      </c>
      <c r="E4" s="6">
        <f>SUM(E5:E12)</f>
        <v/>
      </c>
      <c r="F4" s="6">
        <f>SUM(F5:F12)</f>
        <v/>
      </c>
      <c r="G4" s="6">
        <f>SUM(G5:G12)</f>
        <v/>
      </c>
      <c r="H4" s="6">
        <f>SUM(H5:H12)</f>
        <v/>
      </c>
      <c r="I4" s="7">
        <f>SUM(I5:I12)</f>
        <v/>
      </c>
    </row>
    <row r="5" ht="13" customHeight="1">
      <c r="A5" s="8" t="inlineStr">
        <is>
          <t>20</t>
        </is>
      </c>
      <c r="B5" s="8" t="inlineStr">
        <is>
          <t xml:space="preserve">  給与</t>
        </is>
      </c>
      <c r="C5" s="9" t="n">
        <v>603281</v>
      </c>
      <c r="D5" s="9" t="n">
        <v>618143</v>
      </c>
      <c r="E5" s="9" t="n">
        <v>628369</v>
      </c>
      <c r="F5" s="9" t="n">
        <v>593838</v>
      </c>
      <c r="G5" s="9" t="n">
        <v>648177</v>
      </c>
      <c r="H5" s="9" t="n">
        <v>636467</v>
      </c>
      <c r="I5" s="10">
        <f>SUM(C5:H5)</f>
        <v/>
      </c>
    </row>
    <row r="6" ht="13" customHeight="1">
      <c r="A6" s="8" t="inlineStr">
        <is>
          <t>31</t>
        </is>
      </c>
      <c r="B6" s="8" t="inlineStr">
        <is>
          <t xml:space="preserve">  社員社保料（会社負担分）</t>
        </is>
      </c>
      <c r="C6" s="9" t="n">
        <v>66079</v>
      </c>
      <c r="D6" s="9" t="n">
        <v>66162</v>
      </c>
      <c r="E6" s="9" t="n">
        <v>66217</v>
      </c>
      <c r="F6" s="9" t="n">
        <v>66027</v>
      </c>
      <c r="G6" s="9" t="n">
        <v>66327</v>
      </c>
      <c r="H6" s="9" t="n">
        <v>66233</v>
      </c>
      <c r="I6" s="10">
        <f>SUM(C6:H6)</f>
        <v/>
      </c>
    </row>
    <row r="7" ht="13" customHeight="1">
      <c r="A7" s="8" t="inlineStr">
        <is>
          <t>20</t>
        </is>
      </c>
      <c r="B7" s="8" t="inlineStr">
        <is>
          <t xml:space="preserve">  利用者　工賃　業務委託料</t>
        </is>
      </c>
      <c r="C7" s="9" t="n">
        <v>157325</v>
      </c>
      <c r="D7" s="9" t="n">
        <v>202478</v>
      </c>
      <c r="E7" s="9" t="n">
        <v>193285</v>
      </c>
      <c r="F7" s="9" t="n">
        <v>197161</v>
      </c>
      <c r="G7" s="9" t="n">
        <v>201361</v>
      </c>
      <c r="H7" s="9" t="n">
        <v>205625</v>
      </c>
      <c r="I7" s="10">
        <f>SUM(C7:H7)</f>
        <v/>
      </c>
    </row>
    <row r="8" ht="13" customHeight="1">
      <c r="A8" s="8" t="inlineStr"/>
      <c r="B8" s="8" t="inlineStr">
        <is>
          <t xml:space="preserve">  AJ出向費</t>
        </is>
      </c>
      <c r="C8" s="14" t="n">
        <v>110000</v>
      </c>
      <c r="D8" s="14" t="n">
        <v>110000</v>
      </c>
      <c r="E8" s="14" t="n">
        <v>110000</v>
      </c>
      <c r="F8" s="14" t="n">
        <v>110000</v>
      </c>
      <c r="G8" s="14" t="n">
        <v>110000</v>
      </c>
      <c r="H8" s="14" t="n">
        <v>110000</v>
      </c>
      <c r="I8" s="10">
        <f>SUM(C8:H8)</f>
        <v/>
      </c>
    </row>
    <row r="9" ht="13" customHeight="1">
      <c r="A9" s="8" t="inlineStr"/>
      <c r="B9" s="8" t="inlineStr">
        <is>
          <t xml:space="preserve">  出前弁当</t>
        </is>
      </c>
      <c r="C9" s="9" t="n">
        <v>63201</v>
      </c>
      <c r="D9" s="9" t="n">
        <v>80308</v>
      </c>
      <c r="E9" s="9" t="n">
        <v>73656</v>
      </c>
      <c r="F9" s="9" t="n">
        <v>74131</v>
      </c>
      <c r="G9" s="9" t="n">
        <v>76507</v>
      </c>
      <c r="H9" s="9" t="n">
        <v>74131</v>
      </c>
      <c r="I9" s="10">
        <f>SUM(C9:H9)</f>
        <v/>
      </c>
    </row>
    <row r="10" ht="13" customHeight="1">
      <c r="A10" s="8" t="inlineStr"/>
      <c r="B10" s="8" t="inlineStr">
        <is>
          <t xml:space="preserve">  労働保険料（9.11.2.）</t>
        </is>
      </c>
      <c r="C10" s="9" t="n"/>
      <c r="D10" s="9" t="n"/>
      <c r="E10" s="9" t="n"/>
      <c r="F10" s="9" t="n"/>
      <c r="G10" s="9" t="n"/>
      <c r="H10" s="9" t="n"/>
      <c r="I10" s="10">
        <f>SUM(C10:H10)</f>
        <v/>
      </c>
    </row>
    <row r="11" ht="13" customHeight="1">
      <c r="A11" s="8" t="inlineStr"/>
      <c r="B11" s="8" t="inlineStr">
        <is>
          <t xml:space="preserve">  増田医院　健康診断</t>
        </is>
      </c>
      <c r="C11" s="9" t="n"/>
      <c r="D11" s="9" t="n"/>
      <c r="E11" s="9" t="n"/>
      <c r="F11" s="9" t="n"/>
      <c r="G11" s="9" t="n"/>
      <c r="H11" s="9" t="n"/>
      <c r="I11" s="10">
        <f>SUM(C11:H11)</f>
        <v/>
      </c>
    </row>
    <row r="12" ht="12" customHeight="1">
      <c r="A12" s="11" t="n"/>
      <c r="B12" s="11" t="n"/>
      <c r="C12" s="12" t="n"/>
      <c r="D12" s="12" t="n"/>
      <c r="E12" s="12" t="n"/>
      <c r="F12" s="12" t="n"/>
      <c r="G12" s="12" t="n"/>
      <c r="H12" s="12" t="n"/>
      <c r="I12" s="13" t="n"/>
    </row>
    <row r="13" ht="14" customHeight="1">
      <c r="A13" s="4" t="n"/>
      <c r="B13" s="5" t="inlineStr">
        <is>
          <t>▶ 地代家賃/水光熱/固定資産</t>
        </is>
      </c>
      <c r="C13" s="6">
        <f>SUM(C14:C15)</f>
        <v/>
      </c>
      <c r="D13" s="6">
        <f>SUM(D14:D15)</f>
        <v/>
      </c>
      <c r="E13" s="6">
        <f>SUM(E14:E15)</f>
        <v/>
      </c>
      <c r="F13" s="6">
        <f>SUM(F14:F15)</f>
        <v/>
      </c>
      <c r="G13" s="6">
        <f>SUM(G14:G15)</f>
        <v/>
      </c>
      <c r="H13" s="6">
        <f>SUM(H14:H15)</f>
        <v/>
      </c>
      <c r="I13" s="7">
        <f>SUM(I14:I15)</f>
        <v/>
      </c>
    </row>
    <row r="14" ht="13" customHeight="1">
      <c r="A14" s="8" t="inlineStr">
        <is>
          <t>末</t>
        </is>
      </c>
      <c r="B14" s="8" t="inlineStr">
        <is>
          <t xml:space="preserve">  矢崎商店　家賃・高熱費</t>
        </is>
      </c>
      <c r="C14" s="14" t="n">
        <v>180000</v>
      </c>
      <c r="D14" s="14" t="n">
        <v>180000</v>
      </c>
      <c r="E14" s="14" t="n">
        <v>180000</v>
      </c>
      <c r="F14" s="14" t="n">
        <v>180000</v>
      </c>
      <c r="G14" s="14" t="n">
        <v>180000</v>
      </c>
      <c r="H14" s="14" t="n">
        <v>180000</v>
      </c>
      <c r="I14" s="10">
        <f>SUM(C14:H14)</f>
        <v/>
      </c>
    </row>
    <row r="15" ht="1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3" t="n"/>
    </row>
    <row r="16" ht="14" customHeight="1">
      <c r="A16" s="4" t="n"/>
      <c r="B16" s="5" t="inlineStr">
        <is>
          <t>▶ 顧問料　支払手数料</t>
        </is>
      </c>
      <c r="C16" s="6">
        <f>SUM(C17:C20)</f>
        <v/>
      </c>
      <c r="D16" s="6">
        <f>SUM(D17:D20)</f>
        <v/>
      </c>
      <c r="E16" s="6">
        <f>SUM(E17:E20)</f>
        <v/>
      </c>
      <c r="F16" s="6">
        <f>SUM(F17:F20)</f>
        <v/>
      </c>
      <c r="G16" s="6">
        <f>SUM(G17:G20)</f>
        <v/>
      </c>
      <c r="H16" s="6">
        <f>SUM(H17:H20)</f>
        <v/>
      </c>
      <c r="I16" s="7">
        <f>SUM(I17:I20)</f>
        <v/>
      </c>
    </row>
    <row r="17" ht="13" customHeight="1">
      <c r="A17" s="8" t="inlineStr">
        <is>
          <t>28</t>
        </is>
      </c>
      <c r="B17" s="8" t="inlineStr">
        <is>
          <t xml:space="preserve">  ブリックス　税務</t>
        </is>
      </c>
      <c r="C17" s="14" t="n">
        <v>12500</v>
      </c>
      <c r="D17" s="14" t="n">
        <v>12500</v>
      </c>
      <c r="E17" s="14" t="n">
        <v>12500</v>
      </c>
      <c r="F17" s="14" t="n">
        <v>12500</v>
      </c>
      <c r="G17" s="14" t="n">
        <v>12500</v>
      </c>
      <c r="H17" s="14" t="n">
        <v>12500</v>
      </c>
      <c r="I17" s="10">
        <f>SUM(C17:H17)</f>
        <v/>
      </c>
    </row>
    <row r="18" ht="13" customHeight="1">
      <c r="A18" s="8" t="inlineStr"/>
      <c r="B18" s="8" t="inlineStr">
        <is>
          <t xml:space="preserve">  ブリックス給与計算</t>
        </is>
      </c>
      <c r="C18" s="14" t="n">
        <v>8750</v>
      </c>
      <c r="D18" s="14" t="n">
        <v>8750</v>
      </c>
      <c r="E18" s="14" t="n">
        <v>8750</v>
      </c>
      <c r="F18" s="14" t="n">
        <v>8750</v>
      </c>
      <c r="G18" s="14" t="n">
        <v>8750</v>
      </c>
      <c r="H18" s="14" t="n">
        <v>8750</v>
      </c>
      <c r="I18" s="10">
        <f>SUM(C18:H18)</f>
        <v/>
      </c>
    </row>
    <row r="19" ht="13" customHeight="1">
      <c r="A19" s="8" t="inlineStr"/>
      <c r="B19" s="8" t="inlineStr">
        <is>
          <t xml:space="preserve">  沼田行政書士</t>
        </is>
      </c>
      <c r="C19" s="14" t="n">
        <v>10000</v>
      </c>
      <c r="D19" s="14" t="n">
        <v>10000</v>
      </c>
      <c r="E19" s="14" t="n">
        <v>10000</v>
      </c>
      <c r="F19" s="14" t="n">
        <v>10000</v>
      </c>
      <c r="G19" s="14" t="n">
        <v>10000</v>
      </c>
      <c r="H19" s="14" t="n">
        <v>10000</v>
      </c>
      <c r="I19" s="10">
        <f>SUM(C19:H19)</f>
        <v/>
      </c>
    </row>
    <row r="20" ht="12" customHeight="1">
      <c r="A20" s="11" t="n"/>
      <c r="B20" s="11" t="n"/>
      <c r="C20" s="12" t="n"/>
      <c r="D20" s="12" t="n"/>
      <c r="E20" s="12" t="n"/>
      <c r="F20" s="12" t="n"/>
      <c r="G20" s="12" t="n"/>
      <c r="H20" s="12" t="n"/>
      <c r="I20" s="13" t="n"/>
    </row>
    <row r="21" ht="14" customHeight="1">
      <c r="A21" s="4" t="n"/>
      <c r="B21" s="5" t="inlineStr">
        <is>
          <t>▶ リース料</t>
        </is>
      </c>
      <c r="C21" s="6">
        <f>SUM(C22:C23)</f>
        <v/>
      </c>
      <c r="D21" s="6">
        <f>SUM(D22:D23)</f>
        <v/>
      </c>
      <c r="E21" s="6">
        <f>SUM(E22:E23)</f>
        <v/>
      </c>
      <c r="F21" s="6">
        <f>SUM(F22:F23)</f>
        <v/>
      </c>
      <c r="G21" s="6">
        <f>SUM(G22:G23)</f>
        <v/>
      </c>
      <c r="H21" s="6">
        <f>SUM(H22:H23)</f>
        <v/>
      </c>
      <c r="I21" s="7">
        <f>SUM(I22:I23)</f>
        <v/>
      </c>
    </row>
    <row r="22" ht="13" customHeight="1">
      <c r="A22" s="8" t="inlineStr"/>
      <c r="B22" s="8" t="inlineStr">
        <is>
          <t xml:space="preserve">  しんきんリース　ｺﾋﾟｰ機</t>
        </is>
      </c>
      <c r="C22" s="14" t="n">
        <v>13860</v>
      </c>
      <c r="D22" s="14" t="n">
        <v>13860</v>
      </c>
      <c r="E22" s="14" t="n">
        <v>13860</v>
      </c>
      <c r="F22" s="14" t="n">
        <v>13860</v>
      </c>
      <c r="G22" s="14" t="n">
        <v>13860</v>
      </c>
      <c r="H22" s="14" t="n">
        <v>13860</v>
      </c>
      <c r="I22" s="10">
        <f>SUM(C22:H22)</f>
        <v/>
      </c>
    </row>
    <row r="23" ht="1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3" t="n"/>
    </row>
    <row r="24" ht="14" customHeight="1">
      <c r="A24" s="4" t="n"/>
      <c r="B24" s="5" t="inlineStr">
        <is>
          <t>▶ 通信費</t>
        </is>
      </c>
      <c r="C24" s="6">
        <f>SUM(C25:C27)</f>
        <v/>
      </c>
      <c r="D24" s="6">
        <f>SUM(D25:D27)</f>
        <v/>
      </c>
      <c r="E24" s="6">
        <f>SUM(E25:E27)</f>
        <v/>
      </c>
      <c r="F24" s="6">
        <f>SUM(F25:F27)</f>
        <v/>
      </c>
      <c r="G24" s="6">
        <f>SUM(G25:G27)</f>
        <v/>
      </c>
      <c r="H24" s="6">
        <f>SUM(H25:H27)</f>
        <v/>
      </c>
      <c r="I24" s="7">
        <f>SUM(I25:I27)</f>
        <v/>
      </c>
    </row>
    <row r="25" ht="13" customHeight="1">
      <c r="A25" s="8" t="inlineStr">
        <is>
          <t>末</t>
        </is>
      </c>
      <c r="B25" s="8" t="inlineStr">
        <is>
          <t xml:space="preserve">  ゴラック  カウンター</t>
        </is>
      </c>
      <c r="C25" s="9" t="n">
        <v>1940</v>
      </c>
      <c r="D25" s="9" t="n">
        <v>1123</v>
      </c>
      <c r="E25" s="9" t="n">
        <v>1507</v>
      </c>
      <c r="F25" s="9" t="n">
        <v>1652</v>
      </c>
      <c r="G25" s="9" t="n">
        <v>3195</v>
      </c>
      <c r="H25" s="9" t="n">
        <v>1505</v>
      </c>
      <c r="I25" s="10">
        <f>SUM(C25:H25)</f>
        <v/>
      </c>
    </row>
    <row r="26" ht="13" customHeight="1">
      <c r="A26" s="8" t="inlineStr"/>
      <c r="B26" s="8" t="inlineStr">
        <is>
          <t xml:space="preserve">  テレマーカー</t>
        </is>
      </c>
      <c r="C26" s="9" t="n">
        <v>8282</v>
      </c>
      <c r="D26" s="9" t="n">
        <v>7897</v>
      </c>
      <c r="E26" s="9" t="n">
        <v>7738</v>
      </c>
      <c r="F26" s="9" t="n">
        <v>8161</v>
      </c>
      <c r="G26" s="9" t="n">
        <v>7858</v>
      </c>
      <c r="H26" s="9" t="n">
        <v>7861</v>
      </c>
      <c r="I26" s="10">
        <f>SUM(C26:H26)</f>
        <v/>
      </c>
    </row>
    <row r="27" ht="1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3" t="n"/>
    </row>
    <row r="28" ht="14" customHeight="1">
      <c r="A28" s="4" t="n"/>
      <c r="B28" s="5" t="inlineStr">
        <is>
          <t>▶ 車両費</t>
        </is>
      </c>
      <c r="C28" s="6">
        <f>SUM(C29:C30)</f>
        <v/>
      </c>
      <c r="D28" s="6">
        <f>SUM(D29:D30)</f>
        <v/>
      </c>
      <c r="E28" s="6">
        <f>SUM(E29:E30)</f>
        <v/>
      </c>
      <c r="F28" s="6">
        <f>SUM(F29:F30)</f>
        <v/>
      </c>
      <c r="G28" s="6">
        <f>SUM(G29:G30)</f>
        <v/>
      </c>
      <c r="H28" s="6">
        <f>SUM(H29:H30)</f>
        <v/>
      </c>
      <c r="I28" s="7">
        <f>SUM(I29:I30)</f>
        <v/>
      </c>
    </row>
    <row r="29" ht="13" customHeight="1">
      <c r="A29" s="8" t="inlineStr"/>
      <c r="B29" s="8" t="inlineStr">
        <is>
          <t xml:space="preserve">  大日　車６台携帯２台貸与</t>
        </is>
      </c>
      <c r="C29" s="14" t="n">
        <v>110000</v>
      </c>
      <c r="D29" s="14" t="n">
        <v>110000</v>
      </c>
      <c r="E29" s="14" t="n">
        <v>110000</v>
      </c>
      <c r="F29" s="14" t="n">
        <v>110000</v>
      </c>
      <c r="G29" s="14" t="n">
        <v>110000</v>
      </c>
      <c r="H29" s="14" t="n">
        <v>110000</v>
      </c>
      <c r="I29" s="10">
        <f>SUM(C29:H29)</f>
        <v/>
      </c>
    </row>
    <row r="30" ht="12" customHeight="1">
      <c r="A30" s="11" t="n"/>
      <c r="B30" s="11" t="n"/>
      <c r="C30" s="12" t="n"/>
      <c r="D30" s="12" t="n"/>
      <c r="E30" s="12" t="n"/>
      <c r="F30" s="12" t="n"/>
      <c r="G30" s="12" t="n"/>
      <c r="H30" s="12" t="n"/>
      <c r="I30" s="13" t="n"/>
    </row>
    <row r="31" ht="14" customHeight="1">
      <c r="A31" s="4" t="n"/>
      <c r="B31" s="5" t="inlineStr">
        <is>
          <t>▶ 雑費/消耗品</t>
        </is>
      </c>
      <c r="C31" s="6">
        <f>SUM(C32:C39)</f>
        <v/>
      </c>
      <c r="D31" s="6">
        <f>SUM(D32:D39)</f>
        <v/>
      </c>
      <c r="E31" s="6">
        <f>SUM(E32:E39)</f>
        <v/>
      </c>
      <c r="F31" s="6">
        <f>SUM(F32:F39)</f>
        <v/>
      </c>
      <c r="G31" s="6">
        <f>SUM(G32:G39)</f>
        <v/>
      </c>
      <c r="H31" s="6">
        <f>SUM(H32:H39)</f>
        <v/>
      </c>
      <c r="I31" s="7">
        <f>SUM(I32:I39)</f>
        <v/>
      </c>
    </row>
    <row r="32" ht="13" customHeight="1">
      <c r="A32" s="8" t="inlineStr"/>
      <c r="B32" s="8" t="inlineStr">
        <is>
          <t xml:space="preserve">  BIZバンク　利用料</t>
        </is>
      </c>
      <c r="C32" s="14" t="n">
        <v>1620</v>
      </c>
      <c r="D32" s="14" t="n">
        <v>1620</v>
      </c>
      <c r="E32" s="14" t="n">
        <v>1620</v>
      </c>
      <c r="F32" s="14" t="n">
        <v>1620</v>
      </c>
      <c r="G32" s="14" t="n">
        <v>1620</v>
      </c>
      <c r="H32" s="14" t="n">
        <v>1620</v>
      </c>
      <c r="I32" s="10">
        <f>SUM(C32:H32)</f>
        <v/>
      </c>
    </row>
    <row r="33" ht="13" customHeight="1">
      <c r="A33" s="8" t="inlineStr"/>
      <c r="B33" s="8" t="inlineStr">
        <is>
          <t xml:space="preserve">  リクルート　勤怠管理</t>
        </is>
      </c>
      <c r="C33" s="9" t="n">
        <v>22000</v>
      </c>
      <c r="D33" s="9" t="n">
        <v>16500</v>
      </c>
      <c r="E33" s="9" t="n">
        <v>16500</v>
      </c>
      <c r="F33" s="9" t="n">
        <v>16500</v>
      </c>
      <c r="G33" s="9" t="n">
        <v>16500</v>
      </c>
      <c r="H33" s="9" t="n">
        <v>16500</v>
      </c>
      <c r="I33" s="10">
        <f>SUM(C33:H33)</f>
        <v/>
      </c>
    </row>
    <row r="34" ht="13" customHeight="1">
      <c r="A34" s="8" t="inlineStr"/>
      <c r="B34" s="8" t="inlineStr">
        <is>
          <t xml:space="preserve">  リクルート　募集</t>
        </is>
      </c>
      <c r="C34" s="9" t="n"/>
      <c r="D34" s="9" t="n"/>
      <c r="E34" s="9" t="n"/>
      <c r="F34" s="9" t="n"/>
      <c r="G34" s="9" t="n"/>
      <c r="H34" s="9" t="n"/>
      <c r="I34" s="10">
        <f>SUM(C34:H34)</f>
        <v/>
      </c>
    </row>
    <row r="35" ht="13" customHeight="1">
      <c r="A35" s="8" t="inlineStr"/>
      <c r="B35" s="8" t="inlineStr">
        <is>
          <t xml:space="preserve">  中島清掃</t>
        </is>
      </c>
      <c r="C35" s="14" t="n">
        <v>2200</v>
      </c>
      <c r="D35" s="14" t="n">
        <v>2200</v>
      </c>
      <c r="E35" s="14" t="n">
        <v>2200</v>
      </c>
      <c r="F35" s="14" t="n">
        <v>2200</v>
      </c>
      <c r="G35" s="14" t="n">
        <v>2200</v>
      </c>
      <c r="H35" s="14" t="n">
        <v>2200</v>
      </c>
      <c r="I35" s="10">
        <f>SUM(C35:H35)</f>
        <v/>
      </c>
    </row>
    <row r="36" ht="13" customHeight="1">
      <c r="A36" s="8" t="inlineStr"/>
      <c r="B36" s="8" t="inlineStr">
        <is>
          <t xml:space="preserve">  清芳屋</t>
        </is>
      </c>
      <c r="C36" s="9" t="n"/>
      <c r="D36" s="9" t="n">
        <v>4300</v>
      </c>
      <c r="E36" s="9" t="n"/>
      <c r="F36" s="9" t="n">
        <v>4796</v>
      </c>
      <c r="G36" s="9" t="n">
        <v>9770</v>
      </c>
      <c r="H36" s="9" t="n"/>
      <c r="I36" s="10">
        <f>SUM(C36:H36)</f>
        <v/>
      </c>
    </row>
    <row r="37" ht="13" customHeight="1">
      <c r="A37" s="8" t="inlineStr">
        <is>
          <t>10</t>
        </is>
      </c>
      <c r="B37" s="8" t="inlineStr">
        <is>
          <t xml:space="preserve">  小口現金</t>
        </is>
      </c>
      <c r="C37" s="9" t="n"/>
      <c r="D37" s="9" t="n"/>
      <c r="E37" s="9" t="n"/>
      <c r="F37" s="9" t="n"/>
      <c r="G37" s="9" t="n">
        <v>100000</v>
      </c>
      <c r="H37" s="9" t="n"/>
      <c r="I37" s="10">
        <f>SUM(C37:H37)</f>
        <v/>
      </c>
    </row>
    <row r="38" ht="13" customHeight="1">
      <c r="A38" s="8" t="inlineStr"/>
      <c r="B38" s="8" t="inlineStr">
        <is>
          <t xml:space="preserve">  モノタロウ</t>
        </is>
      </c>
      <c r="C38" s="9" t="n"/>
      <c r="D38" s="9" t="n"/>
      <c r="E38" s="9" t="n"/>
      <c r="F38" s="9" t="n"/>
      <c r="G38" s="9" t="n"/>
      <c r="H38" s="9" t="n"/>
      <c r="I38" s="10">
        <f>SUM(C38:H38)</f>
        <v/>
      </c>
    </row>
    <row r="39" ht="1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3" t="n"/>
    </row>
    <row r="40" ht="14" customHeight="1">
      <c r="A40" s="4" t="n"/>
      <c r="B40" s="5" t="inlineStr">
        <is>
          <t>▶ 銀行返済</t>
        </is>
      </c>
      <c r="C40" s="6">
        <f>SUM(C41:C43)</f>
        <v/>
      </c>
      <c r="D40" s="6">
        <f>SUM(D41:D43)</f>
        <v/>
      </c>
      <c r="E40" s="6">
        <f>SUM(E41:E43)</f>
        <v/>
      </c>
      <c r="F40" s="6">
        <f>SUM(F41:F43)</f>
        <v/>
      </c>
      <c r="G40" s="6">
        <f>SUM(G41:G43)</f>
        <v/>
      </c>
      <c r="H40" s="6">
        <f>SUM(H41:H43)</f>
        <v/>
      </c>
      <c r="I40" s="7">
        <f>SUM(I41:I43)</f>
        <v/>
      </c>
    </row>
    <row r="41" ht="13" customHeight="1">
      <c r="A41" s="8" t="inlineStr"/>
      <c r="B41" s="8" t="inlineStr">
        <is>
          <t xml:space="preserve">  岐信　500万円（72回〜76回）</t>
        </is>
      </c>
      <c r="C41" s="9" t="n">
        <v>60021</v>
      </c>
      <c r="D41" s="9" t="n">
        <v>60021</v>
      </c>
      <c r="E41" s="9" t="n">
        <v>59861</v>
      </c>
      <c r="F41" s="9" t="n">
        <v>59756</v>
      </c>
      <c r="G41" s="9" t="n">
        <v>59701</v>
      </c>
      <c r="H41" s="9" t="n"/>
      <c r="I41" s="10">
        <f>SUM(C41:H41)</f>
        <v/>
      </c>
    </row>
    <row r="42" ht="13" customHeight="1">
      <c r="A42" s="8" t="inlineStr"/>
      <c r="B42" s="8" t="inlineStr">
        <is>
          <t xml:space="preserve">  岐信　500万円　　84×77　R8.7迄</t>
        </is>
      </c>
      <c r="C42" s="9" t="n"/>
      <c r="D42" s="9" t="n"/>
      <c r="E42" s="9" t="n"/>
      <c r="F42" s="9" t="n"/>
      <c r="G42" s="9" t="n"/>
      <c r="H42" s="9" t="n">
        <v>59621</v>
      </c>
      <c r="I42" s="10">
        <f>SUM(C42:H42)</f>
        <v/>
      </c>
    </row>
    <row r="43" ht="1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3" t="n"/>
    </row>
    <row r="44" ht="15" customHeight="1">
      <c r="A44" s="15" t="n"/>
      <c r="B44" s="16" t="inlineStr">
        <is>
          <t>① 支出合計</t>
        </is>
      </c>
      <c r="C44" s="17">
        <f>C4+C13+C16+C21+C24+C28+C31+C40</f>
        <v/>
      </c>
      <c r="D44" s="17">
        <f>D4+D13+D16+D21+D24+D28+D31+D40</f>
        <v/>
      </c>
      <c r="E44" s="17">
        <f>E4+E13+E16+E21+E24+E28+E31+E40</f>
        <v/>
      </c>
      <c r="F44" s="17">
        <f>F4+F13+F16+F21+F24+F28+F31+F40</f>
        <v/>
      </c>
      <c r="G44" s="17">
        <f>G4+G13+G16+G21+G24+G28+G31+G40</f>
        <v/>
      </c>
      <c r="H44" s="17">
        <f>H4+H13+H16+H21+H24+H28+H31+H40</f>
        <v/>
      </c>
      <c r="I44" s="7">
        <f>I4+I13+I16+I21+I24+I28+I31+I40</f>
        <v/>
      </c>
    </row>
    <row r="46" ht="16" customHeight="1">
      <c r="A46" s="18" t="inlineStr">
        <is>
          <t>【 ② 収　入（売上・粗利・雑収入など） 】</t>
        </is>
      </c>
    </row>
    <row r="47" ht="14" customHeight="1">
      <c r="A47" s="19" t="n"/>
      <c r="B47" s="20" t="inlineStr">
        <is>
          <t>▶ 収入・支出項目</t>
        </is>
      </c>
      <c r="C47" s="21">
        <f>SUM(C48:C54)</f>
        <v/>
      </c>
      <c r="D47" s="21">
        <f>SUM(D48:D54)</f>
        <v/>
      </c>
      <c r="E47" s="21">
        <f>SUM(E48:E54)</f>
        <v/>
      </c>
      <c r="F47" s="21">
        <f>SUM(F48:F54)</f>
        <v/>
      </c>
      <c r="G47" s="21">
        <f>SUM(G48:G54)</f>
        <v/>
      </c>
      <c r="H47" s="21">
        <f>SUM(H48:H54)</f>
        <v/>
      </c>
      <c r="I47" s="7">
        <f>SUM(I48:I54)</f>
        <v/>
      </c>
    </row>
    <row r="48" ht="13" customHeight="1">
      <c r="A48" s="22" t="inlineStr">
        <is>
          <t>20</t>
        </is>
      </c>
      <c r="B48" s="22" t="inlineStr">
        <is>
          <t xml:space="preserve">  サービス訓練費</t>
        </is>
      </c>
      <c r="C48" s="23" t="n">
        <v>1120500</v>
      </c>
      <c r="D48" s="23" t="n">
        <v>1014400</v>
      </c>
      <c r="E48" s="23" t="n">
        <v>1260140</v>
      </c>
      <c r="F48" s="23" t="n">
        <v>1251470</v>
      </c>
      <c r="G48" s="23" t="n">
        <v>1259670</v>
      </c>
      <c r="H48" s="23" t="n">
        <v>1313220</v>
      </c>
      <c r="I48" s="10">
        <f>SUM(C48:H48)</f>
        <v/>
      </c>
    </row>
    <row r="49" ht="13" customHeight="1">
      <c r="A49" s="22" t="inlineStr"/>
      <c r="B49" s="22" t="inlineStr">
        <is>
          <t xml:space="preserve">  辻カッティング</t>
        </is>
      </c>
      <c r="C49" s="23" t="n">
        <v>29819</v>
      </c>
      <c r="D49" s="23" t="n">
        <v>37395</v>
      </c>
      <c r="E49" s="23" t="n">
        <v>17943</v>
      </c>
      <c r="F49" s="23" t="n"/>
      <c r="G49" s="23" t="n">
        <v>64776</v>
      </c>
      <c r="H49" s="23" t="n"/>
      <c r="I49" s="10">
        <f>SUM(C49:H49)</f>
        <v/>
      </c>
    </row>
    <row r="50" ht="13" customHeight="1">
      <c r="A50" s="22" t="inlineStr"/>
      <c r="B50" s="22" t="inlineStr">
        <is>
          <t xml:space="preserve">  WSB（自然応用科学）　山県</t>
        </is>
      </c>
      <c r="C50" s="23" t="n"/>
      <c r="D50" s="23" t="n"/>
      <c r="E50" s="23" t="n"/>
      <c r="F50" s="23" t="n">
        <v>41024</v>
      </c>
      <c r="G50" s="23" t="n"/>
      <c r="H50" s="23" t="n"/>
      <c r="I50" s="10">
        <f>SUM(C50:H50)</f>
        <v/>
      </c>
    </row>
    <row r="51" ht="13" customHeight="1">
      <c r="A51" s="22" t="inlineStr"/>
      <c r="B51" s="22" t="inlineStr">
        <is>
          <t xml:space="preserve">  社員より</t>
        </is>
      </c>
      <c r="C51" s="23" t="n"/>
      <c r="D51" s="23" t="n"/>
      <c r="E51" s="23" t="n"/>
      <c r="F51" s="23" t="n"/>
      <c r="G51" s="23" t="n"/>
      <c r="H51" s="23" t="n"/>
      <c r="I51" s="10">
        <f>SUM(C51:H51)</f>
        <v/>
      </c>
    </row>
    <row r="52" ht="13" customHeight="1">
      <c r="A52" s="22" t="inlineStr"/>
      <c r="B52" s="22" t="inlineStr">
        <is>
          <t xml:space="preserve">  助成金　その他</t>
        </is>
      </c>
      <c r="C52" s="23" t="n"/>
      <c r="D52" s="23" t="n"/>
      <c r="E52" s="23" t="n"/>
      <c r="F52" s="23" t="n"/>
      <c r="G52" s="23" t="n"/>
      <c r="H52" s="23" t="n"/>
      <c r="I52" s="10">
        <f>SUM(C52:H52)</f>
        <v/>
      </c>
    </row>
    <row r="53" ht="13" customHeight="1">
      <c r="A53" s="22" t="inlineStr"/>
      <c r="B53" s="22" t="inlineStr">
        <is>
          <t xml:space="preserve">  雇用調整/キャリアUP/奨励金</t>
        </is>
      </c>
      <c r="C53" s="23" t="n"/>
      <c r="D53" s="23" t="n"/>
      <c r="E53" s="23" t="n"/>
      <c r="F53" s="23" t="n"/>
      <c r="G53" s="23" t="n"/>
      <c r="H53" s="23" t="n"/>
      <c r="I53" s="10">
        <f>SUM(C53:H53)</f>
        <v/>
      </c>
    </row>
    <row r="54" ht="12" customHeight="1">
      <c r="A54" s="25" t="n"/>
      <c r="B54" s="25" t="n"/>
      <c r="C54" s="26" t="n"/>
      <c r="D54" s="26" t="n"/>
      <c r="E54" s="26" t="n"/>
      <c r="F54" s="26" t="n"/>
      <c r="G54" s="26" t="n"/>
      <c r="H54" s="26" t="n"/>
      <c r="I54" s="13" t="n"/>
    </row>
    <row r="55" ht="15" customHeight="1">
      <c r="A55" s="27" t="n"/>
      <c r="B55" s="28" t="inlineStr">
        <is>
          <t>② 収入合計</t>
        </is>
      </c>
      <c r="C55" s="29">
        <f>C47</f>
        <v/>
      </c>
      <c r="D55" s="29">
        <f>D47</f>
        <v/>
      </c>
      <c r="E55" s="29">
        <f>E47</f>
        <v/>
      </c>
      <c r="F55" s="29">
        <f>F47</f>
        <v/>
      </c>
      <c r="G55" s="29">
        <f>G47</f>
        <v/>
      </c>
      <c r="H55" s="29">
        <f>H47</f>
        <v/>
      </c>
      <c r="I55" s="7">
        <f>I47</f>
        <v/>
      </c>
    </row>
    <row r="57" ht="22" customHeight="1">
      <c r="A57" s="30" t="n"/>
      <c r="B57" s="31" t="inlineStr">
        <is>
          <t>① 経　費</t>
        </is>
      </c>
      <c r="C57" s="32">
        <f>C44</f>
        <v/>
      </c>
      <c r="D57" s="32">
        <f>D44</f>
        <v/>
      </c>
      <c r="E57" s="32">
        <f>E44</f>
        <v/>
      </c>
      <c r="F57" s="32">
        <f>F44</f>
        <v/>
      </c>
      <c r="G57" s="32">
        <f>G44</f>
        <v/>
      </c>
      <c r="H57" s="32">
        <f>H44</f>
        <v/>
      </c>
      <c r="I57" s="32">
        <f>I44</f>
        <v/>
      </c>
    </row>
    <row r="58" ht="22" customHeight="1">
      <c r="A58" s="33" t="n"/>
      <c r="B58" s="34" t="inlineStr">
        <is>
          <t>② 収　入</t>
        </is>
      </c>
      <c r="C58" s="35">
        <f>C55</f>
        <v/>
      </c>
      <c r="D58" s="35">
        <f>D55</f>
        <v/>
      </c>
      <c r="E58" s="35">
        <f>E55</f>
        <v/>
      </c>
      <c r="F58" s="35">
        <f>F55</f>
        <v/>
      </c>
      <c r="G58" s="35">
        <f>G55</f>
        <v/>
      </c>
      <c r="H58" s="35">
        <f>H55</f>
        <v/>
      </c>
      <c r="I58" s="35">
        <f>I55</f>
        <v/>
      </c>
    </row>
    <row r="59" ht="22" customHeight="1">
      <c r="A59" s="36" t="n"/>
      <c r="B59" s="37" t="inlineStr">
        <is>
          <t>③ 収　支  ②－①</t>
        </is>
      </c>
      <c r="C59" s="38">
        <f>C55-C44</f>
        <v/>
      </c>
      <c r="D59" s="38">
        <f>D55-D44</f>
        <v/>
      </c>
      <c r="E59" s="38">
        <f>E55-E44</f>
        <v/>
      </c>
      <c r="F59" s="38">
        <f>F55-F44</f>
        <v/>
      </c>
      <c r="G59" s="38">
        <f>G55-G44</f>
        <v/>
      </c>
      <c r="H59" s="38">
        <f>H55-H44</f>
        <v/>
      </c>
      <c r="I59" s="38">
        <f>I55-I44</f>
        <v/>
      </c>
    </row>
    <row r="62" ht="20" customHeight="1">
      <c r="A62" s="45" t="inlineStr">
        <is>
          <t>【 ウェルピア法人合算 　（ウェルピア羽島　合算） 】</t>
        </is>
      </c>
      <c r="B62" s="46" t="n"/>
      <c r="C62" s="46" t="n"/>
      <c r="D62" s="46" t="n"/>
      <c r="E62" s="46" t="n"/>
      <c r="F62" s="46" t="n"/>
      <c r="G62" s="46" t="n"/>
      <c r="H62" s="46" t="n"/>
      <c r="I62" s="47" t="n"/>
    </row>
    <row r="63" ht="22" customHeight="1">
      <c r="A63" s="48" t="n"/>
      <c r="B63" s="49" t="inlineStr">
        <is>
          <t>① 経　費（合算）</t>
        </is>
      </c>
      <c r="C63" s="50">
        <f>'ウェルピア羽島_上期_7-12月'!C79+C44</f>
        <v/>
      </c>
      <c r="D63" s="50">
        <f>'ウェルピア羽島_上期_7-12月'!D79+D44</f>
        <v/>
      </c>
      <c r="E63" s="50">
        <f>'ウェルピア羽島_上期_7-12月'!E79+E44</f>
        <v/>
      </c>
      <c r="F63" s="50">
        <f>'ウェルピア羽島_上期_7-12月'!F79+F44</f>
        <v/>
      </c>
      <c r="G63" s="50">
        <f>'ウェルピア羽島_上期_7-12月'!G79+G44</f>
        <v/>
      </c>
      <c r="H63" s="50">
        <f>'ウェルピア羽島_上期_7-12月'!H79+H44</f>
        <v/>
      </c>
      <c r="I63" s="50">
        <f>'ウェルピア羽島_上期_7-12月'!I79+I44</f>
        <v/>
      </c>
    </row>
    <row r="64" ht="22" customHeight="1">
      <c r="A64" s="51" t="n"/>
      <c r="B64" s="52" t="inlineStr">
        <is>
          <t>② 収　入（合算）</t>
        </is>
      </c>
      <c r="C64" s="53">
        <f>'ウェルピア羽島_上期_7-12月'!C91+C55</f>
        <v/>
      </c>
      <c r="D64" s="53">
        <f>'ウェルピア羽島_上期_7-12月'!D91+D55</f>
        <v/>
      </c>
      <c r="E64" s="53">
        <f>'ウェルピア羽島_上期_7-12月'!E91+E55</f>
        <v/>
      </c>
      <c r="F64" s="53">
        <f>'ウェルピア羽島_上期_7-12月'!F91+F55</f>
        <v/>
      </c>
      <c r="G64" s="53">
        <f>'ウェルピア羽島_上期_7-12月'!G91+G55</f>
        <v/>
      </c>
      <c r="H64" s="53">
        <f>'ウェルピア羽島_上期_7-12月'!H91+H55</f>
        <v/>
      </c>
      <c r="I64" s="53">
        <f>'ウェルピア羽島_上期_7-12月'!I91+I55</f>
        <v/>
      </c>
    </row>
    <row r="65" ht="22" customHeight="1">
      <c r="A65" s="54" t="n"/>
      <c r="B65" s="55" t="inlineStr">
        <is>
          <t>③ 収　支（合算）②－①</t>
        </is>
      </c>
      <c r="C65" s="56">
        <f>'ウェルピア羽島_上期_7-12月'!C91+C55-'ウェルピア羽島_上期_7-12月'!C79-C44</f>
        <v/>
      </c>
      <c r="D65" s="56">
        <f>'ウェルピア羽島_上期_7-12月'!D91+D55-'ウェルピア羽島_上期_7-12月'!D79-D44</f>
        <v/>
      </c>
      <c r="E65" s="56">
        <f>'ウェルピア羽島_上期_7-12月'!E91+E55-'ウェルピア羽島_上期_7-12月'!E79-E44</f>
        <v/>
      </c>
      <c r="F65" s="56">
        <f>'ウェルピア羽島_上期_7-12月'!F91+F55-'ウェルピア羽島_上期_7-12月'!F79-F44</f>
        <v/>
      </c>
      <c r="G65" s="56">
        <f>'ウェルピア羽島_上期_7-12月'!G91+G55-'ウェルピア羽島_上期_7-12月'!G79-G44</f>
        <v/>
      </c>
      <c r="H65" s="56">
        <f>'ウェルピア羽島_上期_7-12月'!H91+H55-'ウェルピア羽島_上期_7-12月'!H79-H44</f>
        <v/>
      </c>
      <c r="I65" s="56">
        <f>'ウェルピア羽島_上期_7-12月'!I91+I55-'ウェルピア羽島_上期_7-12月'!I79-I44</f>
        <v/>
      </c>
    </row>
  </sheetData>
  <mergeCells count="4">
    <mergeCell ref="A1:I1"/>
    <mergeCell ref="A46:I46"/>
    <mergeCell ref="A62:I62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K67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③ ウェルピア山県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R8.6月</t>
        </is>
      </c>
      <c r="I2" s="2" t="inlineStr">
        <is>
          <t>下期累計</t>
        </is>
      </c>
      <c r="J2" s="2" t="inlineStr">
        <is>
          <t>上期累計</t>
        </is>
      </c>
      <c r="K2" s="2" t="inlineStr">
        <is>
          <t>通期合計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　福利</t>
        </is>
      </c>
      <c r="C4" s="6">
        <f>SUM(C5:C12)</f>
        <v/>
      </c>
      <c r="D4" s="6">
        <f>SUM(D5:D12)</f>
        <v/>
      </c>
      <c r="E4" s="6">
        <f>SUM(E5:E12)</f>
        <v/>
      </c>
      <c r="F4" s="6">
        <f>SUM(F5:F12)</f>
        <v/>
      </c>
      <c r="G4" s="6">
        <f>SUM(G5:G12)</f>
        <v/>
      </c>
      <c r="H4" s="6">
        <f>SUM(H5:H12)</f>
        <v/>
      </c>
      <c r="I4" s="7">
        <f>SUM(I5:I12)</f>
        <v/>
      </c>
      <c r="J4" s="39">
        <f>SUM(J5:J12)</f>
        <v/>
      </c>
      <c r="K4" s="40">
        <f>SUM(K5:K12)</f>
        <v/>
      </c>
    </row>
    <row r="5" ht="13" customHeight="1">
      <c r="A5" s="8" t="inlineStr"/>
      <c r="B5" s="8" t="inlineStr">
        <is>
          <t xml:space="preserve">  AJ出向費</t>
        </is>
      </c>
      <c r="C5" s="14" t="n">
        <v>110000</v>
      </c>
      <c r="D5" s="14" t="n">
        <v>110000</v>
      </c>
      <c r="E5" s="14" t="n">
        <v>110000</v>
      </c>
      <c r="F5" s="14" t="n">
        <v>110000</v>
      </c>
      <c r="G5" s="14" t="n">
        <v>110000</v>
      </c>
      <c r="H5" s="14" t="n"/>
      <c r="I5" s="10">
        <f>SUM(C5:H5)</f>
        <v/>
      </c>
      <c r="J5" s="41">
        <f>'ウェルピア山県_上期_7-12月'!I8</f>
        <v/>
      </c>
      <c r="K5" s="42">
        <f>I5+J5</f>
        <v/>
      </c>
    </row>
    <row r="6" ht="13" customHeight="1">
      <c r="A6" s="8" t="inlineStr">
        <is>
          <t>20</t>
        </is>
      </c>
      <c r="B6" s="8" t="inlineStr">
        <is>
          <t xml:space="preserve">  給与</t>
        </is>
      </c>
      <c r="C6" s="9" t="n">
        <v>614903</v>
      </c>
      <c r="D6" s="9" t="n">
        <v>640726</v>
      </c>
      <c r="E6" s="9" t="n">
        <v>593725</v>
      </c>
      <c r="F6" s="9" t="n">
        <v>620629</v>
      </c>
      <c r="G6" s="9" t="n"/>
      <c r="H6" s="9" t="n"/>
      <c r="I6" s="10">
        <f>SUM(C6:H6)</f>
        <v/>
      </c>
      <c r="J6" s="41">
        <f>'ウェルピア山県_上期_7-12月'!I5</f>
        <v/>
      </c>
      <c r="K6" s="42">
        <f>I6+J6</f>
        <v/>
      </c>
    </row>
    <row r="7" ht="13" customHeight="1">
      <c r="A7" s="8" t="inlineStr">
        <is>
          <t>31</t>
        </is>
      </c>
      <c r="B7" s="8" t="inlineStr">
        <is>
          <t xml:space="preserve">  社員社保料（会社負担分）</t>
        </is>
      </c>
      <c r="C7" s="9" t="n">
        <v>66143</v>
      </c>
      <c r="D7" s="9" t="n">
        <v>66285</v>
      </c>
      <c r="E7" s="9" t="n">
        <v>66026</v>
      </c>
      <c r="F7" s="9" t="n">
        <v>65934</v>
      </c>
      <c r="G7" s="9" t="n"/>
      <c r="H7" s="9" t="n"/>
      <c r="I7" s="10">
        <f>SUM(C7:H7)</f>
        <v/>
      </c>
      <c r="J7" s="41">
        <f>'ウェルピア山県_上期_7-12月'!I6</f>
        <v/>
      </c>
      <c r="K7" s="42">
        <f>I7+J7</f>
        <v/>
      </c>
    </row>
    <row r="8" ht="13" customHeight="1">
      <c r="A8" s="8" t="inlineStr">
        <is>
          <t>20</t>
        </is>
      </c>
      <c r="B8" s="8" t="inlineStr">
        <is>
          <t xml:space="preserve">  利用者　工賃　業務委託料</t>
        </is>
      </c>
      <c r="C8" s="9" t="n">
        <v>226872</v>
      </c>
      <c r="D8" s="9" t="n">
        <v>207594</v>
      </c>
      <c r="E8" s="9" t="n">
        <v>219453</v>
      </c>
      <c r="F8" s="9" t="n">
        <v>302000</v>
      </c>
      <c r="G8" s="9" t="n"/>
      <c r="H8" s="9" t="n"/>
      <c r="I8" s="10">
        <f>SUM(C8:H8)</f>
        <v/>
      </c>
      <c r="J8" s="41">
        <f>'ウェルピア山県_上期_7-12月'!I7</f>
        <v/>
      </c>
      <c r="K8" s="42">
        <f>I8+J8</f>
        <v/>
      </c>
    </row>
    <row r="9" ht="13" customHeight="1">
      <c r="A9" s="8" t="inlineStr"/>
      <c r="B9" s="8" t="inlineStr">
        <is>
          <t xml:space="preserve">  出前弁当</t>
        </is>
      </c>
      <c r="C9" s="9" t="n">
        <v>66528</v>
      </c>
      <c r="D9" s="9" t="n">
        <v>61776</v>
      </c>
      <c r="E9" s="9" t="n">
        <v>77457</v>
      </c>
      <c r="F9" s="9" t="n">
        <v>86011</v>
      </c>
      <c r="G9" s="9" t="n"/>
      <c r="H9" s="9" t="n"/>
      <c r="I9" s="10">
        <f>SUM(C9:H9)</f>
        <v/>
      </c>
      <c r="J9" s="41">
        <f>'ウェルピア山県_上期_7-12月'!I9</f>
        <v/>
      </c>
      <c r="K9" s="42">
        <f>I9+J9</f>
        <v/>
      </c>
    </row>
    <row r="10" ht="13" customHeight="1">
      <c r="A10" s="8" t="inlineStr"/>
      <c r="B10" s="8" t="inlineStr">
        <is>
          <t xml:space="preserve">  労働保険料（9.11.2.）</t>
        </is>
      </c>
      <c r="C10" s="9" t="n"/>
      <c r="D10" s="9" t="n"/>
      <c r="E10" s="9" t="n"/>
      <c r="F10" s="9" t="n"/>
      <c r="G10" s="9" t="n"/>
      <c r="H10" s="9" t="n"/>
      <c r="I10" s="10">
        <f>SUM(C10:H10)</f>
        <v/>
      </c>
      <c r="J10" s="41">
        <f>'ウェルピア山県_上期_7-12月'!I10</f>
        <v/>
      </c>
      <c r="K10" s="42">
        <f>I10+J10</f>
        <v/>
      </c>
    </row>
    <row r="11" ht="13" customHeight="1">
      <c r="A11" s="8" t="inlineStr"/>
      <c r="B11" s="8" t="inlineStr">
        <is>
          <t xml:space="preserve">  増田医院　健康診断</t>
        </is>
      </c>
      <c r="C11" s="9" t="n"/>
      <c r="D11" s="9" t="n"/>
      <c r="E11" s="9" t="n"/>
      <c r="F11" s="9" t="n"/>
      <c r="G11" s="9" t="n"/>
      <c r="H11" s="9" t="n"/>
      <c r="I11" s="10">
        <f>SUM(C11:H11)</f>
        <v/>
      </c>
      <c r="J11" s="41">
        <f>'ウェルピア山県_上期_7-12月'!I11</f>
        <v/>
      </c>
      <c r="K11" s="42">
        <f>I11+J11</f>
        <v/>
      </c>
    </row>
    <row r="12" ht="12" customHeight="1">
      <c r="A12" s="11" t="n"/>
      <c r="B12" s="11" t="n"/>
      <c r="C12" s="12" t="n"/>
      <c r="D12" s="12" t="n"/>
      <c r="E12" s="12" t="n"/>
      <c r="F12" s="12" t="n"/>
      <c r="G12" s="12" t="n"/>
      <c r="H12" s="12" t="n"/>
      <c r="I12" s="13" t="n"/>
      <c r="J12" s="43" t="n"/>
      <c r="K12" s="44" t="n"/>
    </row>
    <row r="13" ht="14" customHeight="1">
      <c r="A13" s="4" t="n"/>
      <c r="B13" s="5" t="inlineStr">
        <is>
          <t>▶ 地代家賃/水光熱/固定資産</t>
        </is>
      </c>
      <c r="C13" s="6">
        <f>SUM(C14:C15)</f>
        <v/>
      </c>
      <c r="D13" s="6">
        <f>SUM(D14:D15)</f>
        <v/>
      </c>
      <c r="E13" s="6">
        <f>SUM(E14:E15)</f>
        <v/>
      </c>
      <c r="F13" s="6">
        <f>SUM(F14:F15)</f>
        <v/>
      </c>
      <c r="G13" s="6">
        <f>SUM(G14:G15)</f>
        <v/>
      </c>
      <c r="H13" s="6">
        <f>SUM(H14:H15)</f>
        <v/>
      </c>
      <c r="I13" s="7">
        <f>SUM(I14:I15)</f>
        <v/>
      </c>
      <c r="J13" s="39">
        <f>SUM(J14:J15)</f>
        <v/>
      </c>
      <c r="K13" s="40">
        <f>SUM(K14:K15)</f>
        <v/>
      </c>
    </row>
    <row r="14" ht="13" customHeight="1">
      <c r="A14" s="8" t="inlineStr">
        <is>
          <t>末</t>
        </is>
      </c>
      <c r="B14" s="8" t="inlineStr">
        <is>
          <t xml:space="preserve">  矢崎商店　家賃・高熱費</t>
        </is>
      </c>
      <c r="C14" s="14" t="n">
        <v>180000</v>
      </c>
      <c r="D14" s="14" t="n">
        <v>180000</v>
      </c>
      <c r="E14" s="14" t="n">
        <v>180000</v>
      </c>
      <c r="F14" s="14" t="n">
        <v>180000</v>
      </c>
      <c r="G14" s="14" t="n">
        <v>180000</v>
      </c>
      <c r="H14" s="14" t="n"/>
      <c r="I14" s="10">
        <f>SUM(C14:H14)</f>
        <v/>
      </c>
      <c r="J14" s="41">
        <f>'ウェルピア山県_上期_7-12月'!I14</f>
        <v/>
      </c>
      <c r="K14" s="42">
        <f>I14+J14</f>
        <v/>
      </c>
    </row>
    <row r="15" ht="1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3" t="n"/>
      <c r="J15" s="43" t="n"/>
      <c r="K15" s="44" t="n"/>
    </row>
    <row r="16" ht="14" customHeight="1">
      <c r="A16" s="4" t="n"/>
      <c r="B16" s="5" t="inlineStr">
        <is>
          <t>▶ 顧問料　支払手数料</t>
        </is>
      </c>
      <c r="C16" s="6">
        <f>SUM(C17:C20)</f>
        <v/>
      </c>
      <c r="D16" s="6">
        <f>SUM(D17:D20)</f>
        <v/>
      </c>
      <c r="E16" s="6">
        <f>SUM(E17:E20)</f>
        <v/>
      </c>
      <c r="F16" s="6">
        <f>SUM(F17:F20)</f>
        <v/>
      </c>
      <c r="G16" s="6">
        <f>SUM(G17:G20)</f>
        <v/>
      </c>
      <c r="H16" s="6">
        <f>SUM(H17:H20)</f>
        <v/>
      </c>
      <c r="I16" s="7">
        <f>SUM(I17:I20)</f>
        <v/>
      </c>
      <c r="J16" s="39">
        <f>SUM(J17:J20)</f>
        <v/>
      </c>
      <c r="K16" s="40">
        <f>SUM(K17:K20)</f>
        <v/>
      </c>
    </row>
    <row r="17" ht="13" customHeight="1">
      <c r="A17" s="8" t="inlineStr">
        <is>
          <t>28</t>
        </is>
      </c>
      <c r="B17" s="8" t="inlineStr">
        <is>
          <t xml:space="preserve">  ブリックス　税務</t>
        </is>
      </c>
      <c r="C17" s="14" t="n">
        <v>12500</v>
      </c>
      <c r="D17" s="14" t="n">
        <v>12500</v>
      </c>
      <c r="E17" s="14" t="n">
        <v>12500</v>
      </c>
      <c r="F17" s="14" t="n">
        <v>12500</v>
      </c>
      <c r="G17" s="14" t="n">
        <v>12500</v>
      </c>
      <c r="H17" s="14" t="n"/>
      <c r="I17" s="10">
        <f>SUM(C17:H17)</f>
        <v/>
      </c>
      <c r="J17" s="41">
        <f>'ウェルピア山県_上期_7-12月'!I17</f>
        <v/>
      </c>
      <c r="K17" s="42">
        <f>I17+J17</f>
        <v/>
      </c>
    </row>
    <row r="18" ht="13" customHeight="1">
      <c r="A18" s="8" t="inlineStr"/>
      <c r="B18" s="8" t="inlineStr">
        <is>
          <t xml:space="preserve">  ブリックス給与計算</t>
        </is>
      </c>
      <c r="C18" s="14" t="n">
        <v>8750</v>
      </c>
      <c r="D18" s="14" t="n">
        <v>8750</v>
      </c>
      <c r="E18" s="14" t="n">
        <v>8750</v>
      </c>
      <c r="F18" s="14" t="n">
        <v>8750</v>
      </c>
      <c r="G18" s="14" t="n">
        <v>8750</v>
      </c>
      <c r="H18" s="14" t="n"/>
      <c r="I18" s="10">
        <f>SUM(C18:H18)</f>
        <v/>
      </c>
      <c r="J18" s="41">
        <f>'ウェルピア山県_上期_7-12月'!I18</f>
        <v/>
      </c>
      <c r="K18" s="42">
        <f>I18+J18</f>
        <v/>
      </c>
    </row>
    <row r="19" ht="13" customHeight="1">
      <c r="A19" s="8" t="inlineStr"/>
      <c r="B19" s="8" t="inlineStr">
        <is>
          <t xml:space="preserve">  沼田行政書士</t>
        </is>
      </c>
      <c r="C19" s="14" t="n">
        <v>10000</v>
      </c>
      <c r="D19" s="14" t="n">
        <v>10000</v>
      </c>
      <c r="E19" s="14" t="n">
        <v>10000</v>
      </c>
      <c r="F19" s="14" t="n">
        <v>10000</v>
      </c>
      <c r="G19" s="14" t="n">
        <v>10000</v>
      </c>
      <c r="H19" s="14" t="n"/>
      <c r="I19" s="10">
        <f>SUM(C19:H19)</f>
        <v/>
      </c>
      <c r="J19" s="41">
        <f>'ウェルピア山県_上期_7-12月'!I19</f>
        <v/>
      </c>
      <c r="K19" s="42">
        <f>I19+J19</f>
        <v/>
      </c>
    </row>
    <row r="20" ht="12" customHeight="1">
      <c r="A20" s="11" t="n"/>
      <c r="B20" s="11" t="n"/>
      <c r="C20" s="12" t="n"/>
      <c r="D20" s="12" t="n"/>
      <c r="E20" s="12" t="n"/>
      <c r="F20" s="12" t="n"/>
      <c r="G20" s="12" t="n"/>
      <c r="H20" s="12" t="n"/>
      <c r="I20" s="13" t="n"/>
      <c r="J20" s="43" t="n"/>
      <c r="K20" s="44" t="n"/>
    </row>
    <row r="21" ht="14" customHeight="1">
      <c r="A21" s="4" t="n"/>
      <c r="B21" s="5" t="inlineStr">
        <is>
          <t>▶ リース料</t>
        </is>
      </c>
      <c r="C21" s="6">
        <f>SUM(C22:C23)</f>
        <v/>
      </c>
      <c r="D21" s="6">
        <f>SUM(D22:D23)</f>
        <v/>
      </c>
      <c r="E21" s="6">
        <f>SUM(E22:E23)</f>
        <v/>
      </c>
      <c r="F21" s="6">
        <f>SUM(F22:F23)</f>
        <v/>
      </c>
      <c r="G21" s="6">
        <f>SUM(G22:G23)</f>
        <v/>
      </c>
      <c r="H21" s="6">
        <f>SUM(H22:H23)</f>
        <v/>
      </c>
      <c r="I21" s="7">
        <f>SUM(I22:I23)</f>
        <v/>
      </c>
      <c r="J21" s="39">
        <f>SUM(J22:J23)</f>
        <v/>
      </c>
      <c r="K21" s="40">
        <f>SUM(K22:K23)</f>
        <v/>
      </c>
    </row>
    <row r="22" ht="13" customHeight="1">
      <c r="A22" s="8" t="inlineStr"/>
      <c r="B22" s="8" t="inlineStr">
        <is>
          <t xml:space="preserve">  しんきんリース　ｺﾋﾟｰ機</t>
        </is>
      </c>
      <c r="C22" s="14" t="n">
        <v>13860</v>
      </c>
      <c r="D22" s="14" t="n">
        <v>13860</v>
      </c>
      <c r="E22" s="14" t="n">
        <v>13860</v>
      </c>
      <c r="F22" s="14" t="n">
        <v>13860</v>
      </c>
      <c r="G22" s="14" t="n">
        <v>13860</v>
      </c>
      <c r="H22" s="14" t="n"/>
      <c r="I22" s="10">
        <f>SUM(C22:H22)</f>
        <v/>
      </c>
      <c r="J22" s="41">
        <f>'ウェルピア山県_上期_7-12月'!I22</f>
        <v/>
      </c>
      <c r="K22" s="42">
        <f>I22+J22</f>
        <v/>
      </c>
    </row>
    <row r="23" ht="1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3" t="n"/>
      <c r="J23" s="43" t="n"/>
      <c r="K23" s="44" t="n"/>
    </row>
    <row r="24" ht="14" customHeight="1">
      <c r="A24" s="4" t="n"/>
      <c r="B24" s="5" t="inlineStr">
        <is>
          <t>▶ 通信費</t>
        </is>
      </c>
      <c r="C24" s="6">
        <f>SUM(C25:C27)</f>
        <v/>
      </c>
      <c r="D24" s="6">
        <f>SUM(D25:D27)</f>
        <v/>
      </c>
      <c r="E24" s="6">
        <f>SUM(E25:E27)</f>
        <v/>
      </c>
      <c r="F24" s="6">
        <f>SUM(F25:F27)</f>
        <v/>
      </c>
      <c r="G24" s="6">
        <f>SUM(G25:G27)</f>
        <v/>
      </c>
      <c r="H24" s="6">
        <f>SUM(H25:H27)</f>
        <v/>
      </c>
      <c r="I24" s="7">
        <f>SUM(I25:I27)</f>
        <v/>
      </c>
      <c r="J24" s="39">
        <f>SUM(J25:J27)</f>
        <v/>
      </c>
      <c r="K24" s="40">
        <f>SUM(K25:K27)</f>
        <v/>
      </c>
    </row>
    <row r="25" ht="13" customHeight="1">
      <c r="A25" s="8" t="inlineStr">
        <is>
          <t>末</t>
        </is>
      </c>
      <c r="B25" s="8" t="inlineStr">
        <is>
          <t xml:space="preserve">  ゴラック  カウンター</t>
        </is>
      </c>
      <c r="C25" s="9" t="n">
        <v>1069</v>
      </c>
      <c r="D25" s="9" t="n"/>
      <c r="E25" s="9" t="n">
        <v>965</v>
      </c>
      <c r="F25" s="9" t="n">
        <v>743</v>
      </c>
      <c r="G25" s="9" t="n"/>
      <c r="H25" s="9" t="n"/>
      <c r="I25" s="10">
        <f>SUM(C25:H25)</f>
        <v/>
      </c>
      <c r="J25" s="41">
        <f>'ウェルピア山県_上期_7-12月'!I25</f>
        <v/>
      </c>
      <c r="K25" s="42">
        <f>I25+J25</f>
        <v/>
      </c>
    </row>
    <row r="26" ht="13" customHeight="1">
      <c r="A26" s="8" t="inlineStr"/>
      <c r="B26" s="8" t="inlineStr">
        <is>
          <t xml:space="preserve">  テレマーカー</t>
        </is>
      </c>
      <c r="C26" s="9" t="n">
        <v>7879</v>
      </c>
      <c r="D26" s="9" t="n">
        <v>8017</v>
      </c>
      <c r="E26" s="9" t="n">
        <v>7753</v>
      </c>
      <c r="F26" s="9" t="n"/>
      <c r="G26" s="9" t="n"/>
      <c r="H26" s="9" t="n"/>
      <c r="I26" s="10">
        <f>SUM(C26:H26)</f>
        <v/>
      </c>
      <c r="J26" s="41">
        <f>'ウェルピア山県_上期_7-12月'!I26</f>
        <v/>
      </c>
      <c r="K26" s="42">
        <f>I26+J26</f>
        <v/>
      </c>
    </row>
    <row r="27" ht="1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3" t="n"/>
      <c r="J27" s="43" t="n"/>
      <c r="K27" s="44" t="n"/>
    </row>
    <row r="28" ht="14" customHeight="1">
      <c r="A28" s="4" t="n"/>
      <c r="B28" s="5" t="inlineStr">
        <is>
          <t>▶ 車両費</t>
        </is>
      </c>
      <c r="C28" s="6">
        <f>SUM(C29:C30)</f>
        <v/>
      </c>
      <c r="D28" s="6">
        <f>SUM(D29:D30)</f>
        <v/>
      </c>
      <c r="E28" s="6">
        <f>SUM(E29:E30)</f>
        <v/>
      </c>
      <c r="F28" s="6">
        <f>SUM(F29:F30)</f>
        <v/>
      </c>
      <c r="G28" s="6">
        <f>SUM(G29:G30)</f>
        <v/>
      </c>
      <c r="H28" s="6">
        <f>SUM(H29:H30)</f>
        <v/>
      </c>
      <c r="I28" s="7">
        <f>SUM(I29:I30)</f>
        <v/>
      </c>
      <c r="J28" s="39">
        <f>SUM(J29:J30)</f>
        <v/>
      </c>
      <c r="K28" s="40">
        <f>SUM(K29:K30)</f>
        <v/>
      </c>
    </row>
    <row r="29" ht="13" customHeight="1">
      <c r="A29" s="8" t="inlineStr"/>
      <c r="B29" s="8" t="inlineStr">
        <is>
          <t xml:space="preserve">  大日　車６台携帯２台貸与</t>
        </is>
      </c>
      <c r="C29" s="14" t="n">
        <v>110000</v>
      </c>
      <c r="D29" s="14" t="n">
        <v>110000</v>
      </c>
      <c r="E29" s="14" t="n">
        <v>110000</v>
      </c>
      <c r="F29" s="14" t="n">
        <v>110000</v>
      </c>
      <c r="G29" s="14" t="n">
        <v>110000</v>
      </c>
      <c r="H29" s="14" t="n"/>
      <c r="I29" s="10">
        <f>SUM(C29:H29)</f>
        <v/>
      </c>
      <c r="J29" s="41">
        <f>'ウェルピア山県_上期_7-12月'!I29</f>
        <v/>
      </c>
      <c r="K29" s="42">
        <f>I29+J29</f>
        <v/>
      </c>
    </row>
    <row r="30" ht="12" customHeight="1">
      <c r="A30" s="11" t="n"/>
      <c r="B30" s="11" t="n"/>
      <c r="C30" s="12" t="n"/>
      <c r="D30" s="12" t="n"/>
      <c r="E30" s="12" t="n"/>
      <c r="F30" s="12" t="n"/>
      <c r="G30" s="12" t="n"/>
      <c r="H30" s="12" t="n"/>
      <c r="I30" s="13" t="n"/>
      <c r="J30" s="43" t="n"/>
      <c r="K30" s="44" t="n"/>
    </row>
    <row r="31" ht="14" customHeight="1">
      <c r="A31" s="4" t="n"/>
      <c r="B31" s="5" t="inlineStr">
        <is>
          <t>▶ 雑費/消耗品</t>
        </is>
      </c>
      <c r="C31" s="6">
        <f>SUM(C32:C40)</f>
        <v/>
      </c>
      <c r="D31" s="6">
        <f>SUM(D32:D40)</f>
        <v/>
      </c>
      <c r="E31" s="6">
        <f>SUM(E32:E40)</f>
        <v/>
      </c>
      <c r="F31" s="6">
        <f>SUM(F32:F40)</f>
        <v/>
      </c>
      <c r="G31" s="6">
        <f>SUM(G32:G40)</f>
        <v/>
      </c>
      <c r="H31" s="6">
        <f>SUM(H32:H40)</f>
        <v/>
      </c>
      <c r="I31" s="7">
        <f>SUM(I32:I40)</f>
        <v/>
      </c>
      <c r="J31" s="39">
        <f>SUM(J32:J40)</f>
        <v/>
      </c>
      <c r="K31" s="40">
        <f>SUM(K32:K40)</f>
        <v/>
      </c>
    </row>
    <row r="32" ht="13" customHeight="1">
      <c r="A32" s="8" t="inlineStr"/>
      <c r="B32" s="8" t="inlineStr">
        <is>
          <t xml:space="preserve">  BIZバンク　利用料</t>
        </is>
      </c>
      <c r="C32" s="14" t="n">
        <v>1620</v>
      </c>
      <c r="D32" s="14" t="n">
        <v>1620</v>
      </c>
      <c r="E32" s="14" t="n">
        <v>1620</v>
      </c>
      <c r="F32" s="14" t="n">
        <v>1620</v>
      </c>
      <c r="G32" s="14" t="n">
        <v>1620</v>
      </c>
      <c r="H32" s="14" t="n"/>
      <c r="I32" s="10">
        <f>SUM(C32:H32)</f>
        <v/>
      </c>
      <c r="J32" s="41">
        <f>'ウェルピア山県_上期_7-12月'!I32</f>
        <v/>
      </c>
      <c r="K32" s="42">
        <f>I32+J32</f>
        <v/>
      </c>
    </row>
    <row r="33" ht="13" customHeight="1">
      <c r="A33" s="8" t="inlineStr"/>
      <c r="B33" s="8" t="inlineStr">
        <is>
          <t xml:space="preserve">  中島清掃</t>
        </is>
      </c>
      <c r="C33" s="14" t="n">
        <v>2200</v>
      </c>
      <c r="D33" s="14" t="n">
        <v>2200</v>
      </c>
      <c r="E33" s="14" t="n">
        <v>2200</v>
      </c>
      <c r="F33" s="14" t="n">
        <v>2200</v>
      </c>
      <c r="G33" s="14" t="n">
        <v>2200</v>
      </c>
      <c r="H33" s="14" t="n"/>
      <c r="I33" s="10">
        <f>SUM(C33:H33)</f>
        <v/>
      </c>
      <c r="J33" s="41">
        <f>'ウェルピア山県_上期_7-12月'!I35</f>
        <v/>
      </c>
      <c r="K33" s="42">
        <f>I33+J33</f>
        <v/>
      </c>
    </row>
    <row r="34" ht="13" customHeight="1">
      <c r="A34" s="8" t="inlineStr"/>
      <c r="B34" s="8" t="inlineStr">
        <is>
          <t xml:space="preserve">  リクルート　勤怠管理</t>
        </is>
      </c>
      <c r="C34" s="14" t="n">
        <v>16500</v>
      </c>
      <c r="D34" s="14" t="n"/>
      <c r="E34" s="14" t="n">
        <v>16500</v>
      </c>
      <c r="F34" s="14" t="n">
        <v>16500</v>
      </c>
      <c r="G34" s="14" t="n">
        <v>16500</v>
      </c>
      <c r="H34" s="14" t="n"/>
      <c r="I34" s="10">
        <f>SUM(C34:H34)</f>
        <v/>
      </c>
      <c r="J34" s="41">
        <f>'ウェルピア山県_上期_7-12月'!I33</f>
        <v/>
      </c>
      <c r="K34" s="42">
        <f>I34+J34</f>
        <v/>
      </c>
    </row>
    <row r="35" ht="13" customHeight="1">
      <c r="A35" s="8" t="inlineStr"/>
      <c r="B35" s="8" t="inlineStr">
        <is>
          <t xml:space="preserve">  リクルート　募集</t>
        </is>
      </c>
      <c r="C35" s="9" t="n"/>
      <c r="D35" s="9" t="n"/>
      <c r="E35" s="9" t="n"/>
      <c r="F35" s="9" t="n"/>
      <c r="G35" s="9" t="n"/>
      <c r="H35" s="9" t="n"/>
      <c r="I35" s="10">
        <f>SUM(C35:H35)</f>
        <v/>
      </c>
      <c r="J35" s="41">
        <f>'ウェルピア山県_上期_7-12月'!I34</f>
        <v/>
      </c>
      <c r="K35" s="42">
        <f>I35+J35</f>
        <v/>
      </c>
    </row>
    <row r="36" ht="13" customHeight="1">
      <c r="A36" s="8" t="inlineStr">
        <is>
          <t>10</t>
        </is>
      </c>
      <c r="B36" s="8" t="inlineStr">
        <is>
          <t xml:space="preserve">  小口現金</t>
        </is>
      </c>
      <c r="C36" s="14" t="n">
        <v>100000</v>
      </c>
      <c r="D36" s="14" t="n"/>
      <c r="E36" s="14" t="n">
        <v>100000</v>
      </c>
      <c r="F36" s="14" t="n"/>
      <c r="G36" s="14" t="n"/>
      <c r="H36" s="14" t="n"/>
      <c r="I36" s="10">
        <f>SUM(C36:H36)</f>
        <v/>
      </c>
      <c r="J36" s="41">
        <f>'ウェルピア山県_上期_7-12月'!I37</f>
        <v/>
      </c>
      <c r="K36" s="42">
        <f>I36+J36</f>
        <v/>
      </c>
    </row>
    <row r="37" ht="13" customHeight="1">
      <c r="A37" s="8" t="inlineStr"/>
      <c r="B37" s="8" t="inlineStr">
        <is>
          <t xml:space="preserve">  清芳屋</t>
        </is>
      </c>
      <c r="C37" s="9" t="n"/>
      <c r="D37" s="9" t="n"/>
      <c r="E37" s="9" t="n">
        <v>6712</v>
      </c>
      <c r="F37" s="9" t="n">
        <v>9035</v>
      </c>
      <c r="G37" s="9" t="n"/>
      <c r="H37" s="9" t="n"/>
      <c r="I37" s="10">
        <f>SUM(C37:H37)</f>
        <v/>
      </c>
      <c r="J37" s="41">
        <f>'ウェルピア山県_上期_7-12月'!I36</f>
        <v/>
      </c>
      <c r="K37" s="42">
        <f>I37+J37</f>
        <v/>
      </c>
    </row>
    <row r="38" ht="13" customHeight="1">
      <c r="A38" s="8" t="inlineStr"/>
      <c r="B38" s="8" t="inlineStr">
        <is>
          <t xml:space="preserve">  モノタロウ</t>
        </is>
      </c>
      <c r="C38" s="9" t="n">
        <v>8567</v>
      </c>
      <c r="D38" s="9" t="n"/>
      <c r="E38" s="9" t="n"/>
      <c r="F38" s="9" t="n"/>
      <c r="G38" s="9" t="n"/>
      <c r="H38" s="9" t="n"/>
      <c r="I38" s="10">
        <f>SUM(C38:H38)</f>
        <v/>
      </c>
      <c r="J38" s="41">
        <f>'ウェルピア山県_上期_7-12月'!I38</f>
        <v/>
      </c>
      <c r="K38" s="42">
        <f>I38+J38</f>
        <v/>
      </c>
    </row>
    <row r="39" ht="13" customHeight="1">
      <c r="A39" s="8" t="inlineStr"/>
      <c r="B39" s="8" t="inlineStr">
        <is>
          <t xml:space="preserve">  ノウビー　勤怠管理</t>
        </is>
      </c>
      <c r="C39" s="9" t="n"/>
      <c r="D39" s="9" t="n">
        <v>16500</v>
      </c>
      <c r="E39" s="9" t="n"/>
      <c r="F39" s="9" t="n"/>
      <c r="G39" s="9" t="n"/>
      <c r="H39" s="9" t="n"/>
      <c r="I39" s="10">
        <f>SUM(C39:H39)</f>
        <v/>
      </c>
      <c r="J39" s="41" t="n"/>
      <c r="K39" s="42">
        <f>I39+J39</f>
        <v/>
      </c>
    </row>
    <row r="40" ht="12" customHeight="1">
      <c r="A40" s="11" t="n"/>
      <c r="B40" s="11" t="n"/>
      <c r="C40" s="12" t="n"/>
      <c r="D40" s="12" t="n"/>
      <c r="E40" s="12" t="n"/>
      <c r="F40" s="12" t="n"/>
      <c r="G40" s="12" t="n"/>
      <c r="H40" s="12" t="n"/>
      <c r="I40" s="13" t="n"/>
      <c r="J40" s="43" t="n"/>
      <c r="K40" s="44" t="n"/>
    </row>
    <row r="41" ht="14" customHeight="1">
      <c r="A41" s="4" t="n"/>
      <c r="B41" s="5" t="inlineStr">
        <is>
          <t>▶ 銀行返済</t>
        </is>
      </c>
      <c r="C41" s="6">
        <f>SUM(C42:C47)</f>
        <v/>
      </c>
      <c r="D41" s="6">
        <f>SUM(D42:D47)</f>
        <v/>
      </c>
      <c r="E41" s="6">
        <f>SUM(E42:E47)</f>
        <v/>
      </c>
      <c r="F41" s="6">
        <f>SUM(F42:F47)</f>
        <v/>
      </c>
      <c r="G41" s="6">
        <f>SUM(G42:G47)</f>
        <v/>
      </c>
      <c r="H41" s="6">
        <f>SUM(H42:H47)</f>
        <v/>
      </c>
      <c r="I41" s="7">
        <f>SUM(I42:I47)</f>
        <v/>
      </c>
      <c r="J41" s="39">
        <f>SUM(J42:J47)</f>
        <v/>
      </c>
      <c r="K41" s="40">
        <f>SUM(K42:K47)</f>
        <v/>
      </c>
    </row>
    <row r="42" ht="13" customHeight="1">
      <c r="A42" s="8" t="inlineStr"/>
      <c r="B42" s="8" t="inlineStr">
        <is>
          <t xml:space="preserve">  10期累計</t>
        </is>
      </c>
      <c r="C42" s="9" t="n"/>
      <c r="D42" s="9" t="n"/>
      <c r="E42" s="9" t="n"/>
      <c r="F42" s="9" t="n">
        <v>-205296</v>
      </c>
      <c r="G42" s="9" t="n">
        <v>-276303</v>
      </c>
      <c r="H42" s="9" t="n"/>
      <c r="I42" s="10">
        <f>SUM(C42:H42)</f>
        <v/>
      </c>
      <c r="J42" s="41" t="n"/>
      <c r="K42" s="42">
        <f>I42+J42</f>
        <v/>
      </c>
    </row>
    <row r="43" ht="13" customHeight="1">
      <c r="A43" s="8" t="inlineStr"/>
      <c r="B43" s="8" t="inlineStr">
        <is>
          <t xml:space="preserve">  岐信　500万円　　84×78　R8.7迄</t>
        </is>
      </c>
      <c r="C43" s="9" t="n">
        <v>59488</v>
      </c>
      <c r="D43" s="9" t="n"/>
      <c r="E43" s="9" t="n"/>
      <c r="F43" s="9" t="n"/>
      <c r="G43" s="9" t="n"/>
      <c r="H43" s="9" t="n"/>
      <c r="I43" s="10">
        <f>SUM(C43:H43)</f>
        <v/>
      </c>
      <c r="J43" s="41" t="n"/>
      <c r="K43" s="42">
        <f>I43+J43</f>
        <v/>
      </c>
    </row>
    <row r="44" ht="13" customHeight="1">
      <c r="A44" s="8" t="inlineStr"/>
      <c r="B44" s="8" t="inlineStr">
        <is>
          <t xml:space="preserve">  岐信　500万円　　84×79　R8.7迄</t>
        </is>
      </c>
      <c r="C44" s="9" t="n"/>
      <c r="D44" s="9" t="n">
        <v>59460</v>
      </c>
      <c r="E44" s="9" t="n"/>
      <c r="F44" s="9" t="n"/>
      <c r="G44" s="9" t="n"/>
      <c r="H44" s="9" t="n"/>
      <c r="I44" s="10">
        <f>SUM(C44:H44)</f>
        <v/>
      </c>
      <c r="J44" s="41" t="n"/>
      <c r="K44" s="42">
        <f>I44+J44</f>
        <v/>
      </c>
    </row>
    <row r="45" ht="13" customHeight="1">
      <c r="A45" s="8" t="inlineStr"/>
      <c r="B45" s="8" t="inlineStr">
        <is>
          <t xml:space="preserve">  岐信　500万円　　84×80　R8.7迄</t>
        </is>
      </c>
      <c r="C45" s="9" t="n"/>
      <c r="D45" s="9" t="n"/>
      <c r="E45" s="9" t="n">
        <v>59425</v>
      </c>
      <c r="F45" s="9" t="n"/>
      <c r="G45" s="9" t="n"/>
      <c r="H45" s="9" t="n"/>
      <c r="I45" s="10">
        <f>SUM(C45:H45)</f>
        <v/>
      </c>
      <c r="J45" s="41" t="n"/>
      <c r="K45" s="42">
        <f>I45+J45</f>
        <v/>
      </c>
    </row>
    <row r="46" ht="13" customHeight="1">
      <c r="A46" s="8" t="inlineStr"/>
      <c r="B46" s="8" t="inlineStr">
        <is>
          <t xml:space="preserve">  岐信　500万円　　84×81　R8.7迄</t>
        </is>
      </c>
      <c r="C46" s="9" t="n"/>
      <c r="D46" s="9" t="n"/>
      <c r="E46" s="9" t="n"/>
      <c r="F46" s="9" t="n">
        <v>59347</v>
      </c>
      <c r="G46" s="9" t="n"/>
      <c r="H46" s="9" t="n"/>
      <c r="I46" s="10">
        <f>SUM(C46:H46)</f>
        <v/>
      </c>
      <c r="J46" s="41" t="n"/>
      <c r="K46" s="42">
        <f>I46+J46</f>
        <v/>
      </c>
    </row>
    <row r="47" ht="1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3" t="n"/>
      <c r="J47" s="43" t="n"/>
      <c r="K47" s="44" t="n"/>
    </row>
    <row r="48" ht="15" customHeight="1">
      <c r="A48" s="15" t="n"/>
      <c r="B48" s="16" t="inlineStr">
        <is>
          <t>① 支出合計</t>
        </is>
      </c>
      <c r="C48" s="17">
        <f>C4+C13+C16+C21+C24+C28+C31+C41</f>
        <v/>
      </c>
      <c r="D48" s="17">
        <f>D4+D13+D16+D21+D24+D28+D31+D41</f>
        <v/>
      </c>
      <c r="E48" s="17">
        <f>E4+E13+E16+E21+E24+E28+E31+E41</f>
        <v/>
      </c>
      <c r="F48" s="17">
        <f>F4+F13+F16+F21+F24+F28+F31+F41</f>
        <v/>
      </c>
      <c r="G48" s="17">
        <f>G4+G13+G16+G21+G24+G28+G31+G41</f>
        <v/>
      </c>
      <c r="H48" s="17">
        <f>H4+H13+H16+H21+H24+H28+H31+H41</f>
        <v/>
      </c>
      <c r="I48" s="7">
        <f>I4+I13+I16+I21+I24+I28+I31+I41</f>
        <v/>
      </c>
      <c r="J48" s="39">
        <f>J4+J13+J16+J21+J24+J28+J31+J41</f>
        <v/>
      </c>
      <c r="K48" s="40">
        <f>K4+K13+K16+K21+K24+K28+K31+K41</f>
        <v/>
      </c>
    </row>
    <row r="50" ht="16" customHeight="1">
      <c r="A50" s="18" t="inlineStr">
        <is>
          <t>【 ② 収　入（売上・粗利・雑収入など） 】</t>
        </is>
      </c>
    </row>
    <row r="51" ht="14" customHeight="1">
      <c r="A51" s="19" t="n"/>
      <c r="B51" s="20" t="inlineStr">
        <is>
          <t>▶ 収入・支出項目</t>
        </is>
      </c>
      <c r="C51" s="21">
        <f>SUM(C52:C56)</f>
        <v/>
      </c>
      <c r="D51" s="21">
        <f>SUM(D52:D56)</f>
        <v/>
      </c>
      <c r="E51" s="21">
        <f>SUM(E52:E56)</f>
        <v/>
      </c>
      <c r="F51" s="21">
        <f>SUM(F52:F56)</f>
        <v/>
      </c>
      <c r="G51" s="21">
        <f>SUM(G52:G56)</f>
        <v/>
      </c>
      <c r="H51" s="21">
        <f>SUM(H52:H56)</f>
        <v/>
      </c>
      <c r="I51" s="7">
        <f>SUM(I52:I56)</f>
        <v/>
      </c>
      <c r="J51" s="39">
        <f>SUM(J52:J56)</f>
        <v/>
      </c>
      <c r="K51" s="40">
        <f>SUM(K52:K56)</f>
        <v/>
      </c>
    </row>
    <row r="52" ht="13" customHeight="1">
      <c r="A52" s="22" t="inlineStr">
        <is>
          <t>20</t>
        </is>
      </c>
      <c r="B52" s="22" t="inlineStr">
        <is>
          <t xml:space="preserve">  サービス訓練費</t>
        </is>
      </c>
      <c r="C52" s="23" t="n">
        <v>1341320</v>
      </c>
      <c r="D52" s="23" t="n">
        <v>1489660</v>
      </c>
      <c r="E52" s="23" t="n">
        <v>1373940</v>
      </c>
      <c r="F52" s="23" t="n">
        <v>1402660</v>
      </c>
      <c r="G52" s="23" t="n"/>
      <c r="H52" s="23" t="n"/>
      <c r="I52" s="10">
        <f>SUM(C52:H52)</f>
        <v/>
      </c>
      <c r="J52" s="41">
        <f>'ウェルピア山県_上期_7-12月'!I48</f>
        <v/>
      </c>
      <c r="K52" s="42">
        <f>I52+J52</f>
        <v/>
      </c>
    </row>
    <row r="53" ht="13" customHeight="1">
      <c r="A53" s="22" t="inlineStr"/>
      <c r="B53" s="22" t="inlineStr">
        <is>
          <t xml:space="preserve">  辻カッティング</t>
        </is>
      </c>
      <c r="C53" s="23" t="n"/>
      <c r="D53" s="23" t="n">
        <v>4485</v>
      </c>
      <c r="E53" s="23" t="n">
        <v>8729</v>
      </c>
      <c r="F53" s="23" t="n"/>
      <c r="G53" s="23" t="n"/>
      <c r="H53" s="23" t="n"/>
      <c r="I53" s="10">
        <f>SUM(C53:H53)</f>
        <v/>
      </c>
      <c r="J53" s="41">
        <f>'ウェルピア山県_上期_7-12月'!I49</f>
        <v/>
      </c>
      <c r="K53" s="42">
        <f>I53+J53</f>
        <v/>
      </c>
    </row>
    <row r="54" ht="13" customHeight="1">
      <c r="A54" s="22" t="inlineStr"/>
      <c r="B54" s="22" t="inlineStr">
        <is>
          <t xml:space="preserve">  AJ・大日</t>
        </is>
      </c>
      <c r="C54" s="23" t="n">
        <v>104720</v>
      </c>
      <c r="D54" s="23" t="n"/>
      <c r="E54" s="23" t="n"/>
      <c r="F54" s="23" t="n"/>
      <c r="G54" s="23" t="n"/>
      <c r="H54" s="23" t="n"/>
      <c r="I54" s="10">
        <f>SUM(C54:H54)</f>
        <v/>
      </c>
      <c r="J54" s="41" t="n"/>
      <c r="K54" s="42">
        <f>I54+J54</f>
        <v/>
      </c>
    </row>
    <row r="55" ht="13" customHeight="1">
      <c r="A55" s="22" t="inlineStr"/>
      <c r="B55" s="22" t="inlineStr">
        <is>
          <t xml:space="preserve">  その他　助成金</t>
        </is>
      </c>
      <c r="C55" s="23" t="n"/>
      <c r="D55" s="23" t="n"/>
      <c r="E55" s="23" t="n">
        <v>50000</v>
      </c>
      <c r="F55" s="23" t="n"/>
      <c r="G55" s="23" t="n"/>
      <c r="H55" s="23" t="n"/>
      <c r="I55" s="10">
        <f>SUM(C55:H55)</f>
        <v/>
      </c>
      <c r="J55" s="41" t="n"/>
      <c r="K55" s="42">
        <f>I55+J55</f>
        <v/>
      </c>
    </row>
    <row r="56" ht="12" customHeight="1">
      <c r="A56" s="25" t="n"/>
      <c r="B56" s="25" t="n"/>
      <c r="C56" s="26" t="n"/>
      <c r="D56" s="26" t="n"/>
      <c r="E56" s="26" t="n"/>
      <c r="F56" s="26" t="n"/>
      <c r="G56" s="26" t="n"/>
      <c r="H56" s="26" t="n"/>
      <c r="I56" s="13" t="n"/>
      <c r="J56" s="43" t="n"/>
      <c r="K56" s="44" t="n"/>
    </row>
    <row r="57" ht="15" customHeight="1">
      <c r="A57" s="27" t="n"/>
      <c r="B57" s="28" t="inlineStr">
        <is>
          <t>② 収入合計</t>
        </is>
      </c>
      <c r="C57" s="29">
        <f>C51</f>
        <v/>
      </c>
      <c r="D57" s="29">
        <f>D51</f>
        <v/>
      </c>
      <c r="E57" s="29">
        <f>E51</f>
        <v/>
      </c>
      <c r="F57" s="29">
        <f>F51</f>
        <v/>
      </c>
      <c r="G57" s="29">
        <f>G51</f>
        <v/>
      </c>
      <c r="H57" s="29">
        <f>H51</f>
        <v/>
      </c>
      <c r="I57" s="7">
        <f>I51</f>
        <v/>
      </c>
      <c r="J57" s="39">
        <f>J51</f>
        <v/>
      </c>
      <c r="K57" s="40">
        <f>K51</f>
        <v/>
      </c>
    </row>
    <row r="59" ht="22" customHeight="1">
      <c r="A59" s="30" t="n"/>
      <c r="B59" s="31" t="inlineStr">
        <is>
          <t>① 経　費</t>
        </is>
      </c>
      <c r="C59" s="32">
        <f>C48</f>
        <v/>
      </c>
      <c r="D59" s="32">
        <f>D48</f>
        <v/>
      </c>
      <c r="E59" s="32">
        <f>E48</f>
        <v/>
      </c>
      <c r="F59" s="32">
        <f>F48</f>
        <v/>
      </c>
      <c r="G59" s="32">
        <f>G48</f>
        <v/>
      </c>
      <c r="H59" s="32">
        <f>H48</f>
        <v/>
      </c>
      <c r="I59" s="32">
        <f>I48</f>
        <v/>
      </c>
      <c r="J59" s="32">
        <f>J48</f>
        <v/>
      </c>
      <c r="K59" s="32">
        <f>K48</f>
        <v/>
      </c>
    </row>
    <row r="60" ht="22" customHeight="1">
      <c r="A60" s="33" t="n"/>
      <c r="B60" s="34" t="inlineStr">
        <is>
          <t>② 収　入</t>
        </is>
      </c>
      <c r="C60" s="35">
        <f>C57</f>
        <v/>
      </c>
      <c r="D60" s="35">
        <f>D57</f>
        <v/>
      </c>
      <c r="E60" s="35">
        <f>E57</f>
        <v/>
      </c>
      <c r="F60" s="35">
        <f>F57</f>
        <v/>
      </c>
      <c r="G60" s="35">
        <f>G57</f>
        <v/>
      </c>
      <c r="H60" s="35">
        <f>H57</f>
        <v/>
      </c>
      <c r="I60" s="35">
        <f>I57</f>
        <v/>
      </c>
      <c r="J60" s="35">
        <f>J57</f>
        <v/>
      </c>
      <c r="K60" s="35">
        <f>K57</f>
        <v/>
      </c>
    </row>
    <row r="61" ht="22" customHeight="1">
      <c r="A61" s="36" t="n"/>
      <c r="B61" s="37" t="inlineStr">
        <is>
          <t>③ 収　支  ②－①</t>
        </is>
      </c>
      <c r="C61" s="38">
        <f>C57-C48</f>
        <v/>
      </c>
      <c r="D61" s="38">
        <f>D57-D48</f>
        <v/>
      </c>
      <c r="E61" s="38">
        <f>E57-E48</f>
        <v/>
      </c>
      <c r="F61" s="38">
        <f>F57-F48</f>
        <v/>
      </c>
      <c r="G61" s="38">
        <f>G57-G48</f>
        <v/>
      </c>
      <c r="H61" s="38">
        <f>H57-H48</f>
        <v/>
      </c>
      <c r="I61" s="38">
        <f>I57-I48</f>
        <v/>
      </c>
      <c r="J61" s="38">
        <f>J57-J48</f>
        <v/>
      </c>
      <c r="K61" s="38">
        <f>K57-K48</f>
        <v/>
      </c>
    </row>
    <row r="64" ht="20" customHeight="1">
      <c r="A64" s="45" t="inlineStr">
        <is>
          <t>【 ウェルピア法人合算 　（ウェルピア羽島　合算） 】</t>
        </is>
      </c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7" t="n"/>
    </row>
    <row r="65" ht="22" customHeight="1">
      <c r="A65" s="48" t="n"/>
      <c r="B65" s="49" t="inlineStr">
        <is>
          <t>① 経　費（合算）</t>
        </is>
      </c>
      <c r="C65" s="50">
        <f>'ウェルピア羽島_下期_1-6月'!C71+C48</f>
        <v/>
      </c>
      <c r="D65" s="50">
        <f>'ウェルピア羽島_下期_1-6月'!D71+D48</f>
        <v/>
      </c>
      <c r="E65" s="50">
        <f>'ウェルピア羽島_下期_1-6月'!E71+E48</f>
        <v/>
      </c>
      <c r="F65" s="50">
        <f>'ウェルピア羽島_下期_1-6月'!F71+F48</f>
        <v/>
      </c>
      <c r="G65" s="50">
        <f>'ウェルピア羽島_下期_1-6月'!G71+G48</f>
        <v/>
      </c>
      <c r="H65" s="50">
        <f>'ウェルピア羽島_下期_1-6月'!H71+H48</f>
        <v/>
      </c>
      <c r="I65" s="50">
        <f>'ウェルピア羽島_下期_1-6月'!I71+I48</f>
        <v/>
      </c>
      <c r="J65" s="50">
        <f>'ウェルピア羽島_下期_1-6月'!J71+J48</f>
        <v/>
      </c>
      <c r="K65" s="50">
        <f>'ウェルピア羽島_下期_1-6月'!K71+K48</f>
        <v/>
      </c>
    </row>
    <row r="66" ht="22" customHeight="1">
      <c r="A66" s="51" t="n"/>
      <c r="B66" s="52" t="inlineStr">
        <is>
          <t>② 収　入（合算）</t>
        </is>
      </c>
      <c r="C66" s="53">
        <f>'ウェルピア羽島_下期_1-6月'!C83+C57</f>
        <v/>
      </c>
      <c r="D66" s="53">
        <f>'ウェルピア羽島_下期_1-6月'!D83+D57</f>
        <v/>
      </c>
      <c r="E66" s="53">
        <f>'ウェルピア羽島_下期_1-6月'!E83+E57</f>
        <v/>
      </c>
      <c r="F66" s="53">
        <f>'ウェルピア羽島_下期_1-6月'!F83+F57</f>
        <v/>
      </c>
      <c r="G66" s="53">
        <f>'ウェルピア羽島_下期_1-6月'!G83+G57</f>
        <v/>
      </c>
      <c r="H66" s="53">
        <f>'ウェルピア羽島_下期_1-6月'!H83+H57</f>
        <v/>
      </c>
      <c r="I66" s="53">
        <f>'ウェルピア羽島_下期_1-6月'!I83+I57</f>
        <v/>
      </c>
      <c r="J66" s="53">
        <f>'ウェルピア羽島_下期_1-6月'!J83+J57</f>
        <v/>
      </c>
      <c r="K66" s="53">
        <f>'ウェルピア羽島_下期_1-6月'!K83+K57</f>
        <v/>
      </c>
    </row>
    <row r="67" ht="22" customHeight="1">
      <c r="A67" s="54" t="n"/>
      <c r="B67" s="55" t="inlineStr">
        <is>
          <t>③ 収　支（合算）②－①</t>
        </is>
      </c>
      <c r="C67" s="56">
        <f>'ウェルピア羽島_下期_1-6月'!C83+C57-'ウェルピア羽島_下期_1-6月'!C71-C48</f>
        <v/>
      </c>
      <c r="D67" s="56">
        <f>'ウェルピア羽島_下期_1-6月'!D83+D57-'ウェルピア羽島_下期_1-6月'!D71-D48</f>
        <v/>
      </c>
      <c r="E67" s="56">
        <f>'ウェルピア羽島_下期_1-6月'!E83+E57-'ウェルピア羽島_下期_1-6月'!E71-E48</f>
        <v/>
      </c>
      <c r="F67" s="56">
        <f>'ウェルピア羽島_下期_1-6月'!F83+F57-'ウェルピア羽島_下期_1-6月'!F71-F48</f>
        <v/>
      </c>
      <c r="G67" s="56">
        <f>'ウェルピア羽島_下期_1-6月'!G83+G57-'ウェルピア羽島_下期_1-6月'!G71-G48</f>
        <v/>
      </c>
      <c r="H67" s="56">
        <f>'ウェルピア羽島_下期_1-6月'!H83+H57-'ウェルピア羽島_下期_1-6月'!H71-H48</f>
        <v/>
      </c>
      <c r="I67" s="56">
        <f>'ウェルピア羽島_下期_1-6月'!I83+I57-'ウェルピア羽島_下期_1-6月'!I71-I48</f>
        <v/>
      </c>
      <c r="J67" s="56">
        <f>'ウェルピア羽島_下期_1-6月'!J83+J57-'ウェルピア羽島_下期_1-6月'!J71-J48</f>
        <v/>
      </c>
      <c r="K67" s="56">
        <f>'ウェルピア羽島_下期_1-6月'!K83+K57-'ウェルピア羽島_下期_1-6月'!K71-K48</f>
        <v/>
      </c>
    </row>
  </sheetData>
  <mergeCells count="4">
    <mergeCell ref="A64:K64"/>
    <mergeCell ref="A1:K1"/>
    <mergeCell ref="A50:K50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I148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④ 大日産業（本社）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</t>
        </is>
      </c>
      <c r="C4" s="6">
        <f>SUM(C5:C13)</f>
        <v/>
      </c>
      <c r="D4" s="6">
        <f>SUM(D5:D13)</f>
        <v/>
      </c>
      <c r="E4" s="6">
        <f>SUM(E5:E13)</f>
        <v/>
      </c>
      <c r="F4" s="6">
        <f>SUM(F5:F13)</f>
        <v/>
      </c>
      <c r="G4" s="6">
        <f>SUM(G5:G13)</f>
        <v/>
      </c>
      <c r="H4" s="6">
        <f>SUM(H5:H13)</f>
        <v/>
      </c>
      <c r="I4" s="7">
        <f>SUM(I5:I13)</f>
        <v/>
      </c>
    </row>
    <row r="5" ht="13" customHeight="1">
      <c r="A5" s="8" t="inlineStr"/>
      <c r="B5" s="8" t="inlineStr">
        <is>
          <t xml:space="preserve">  厚生年金（役員）会社負担</t>
        </is>
      </c>
      <c r="C5" s="14" t="n">
        <v>57960</v>
      </c>
      <c r="D5" s="14" t="n">
        <v>57960</v>
      </c>
      <c r="E5" s="14" t="n">
        <v>57960</v>
      </c>
      <c r="F5" s="14" t="n">
        <v>57960</v>
      </c>
      <c r="G5" s="14" t="n">
        <v>57960</v>
      </c>
      <c r="H5" s="14" t="n">
        <v>57960</v>
      </c>
      <c r="I5" s="10">
        <f>SUM(C5:H5)</f>
        <v/>
      </c>
    </row>
    <row r="6" ht="13" customHeight="1">
      <c r="A6" s="8" t="inlineStr"/>
      <c r="B6" s="8" t="inlineStr">
        <is>
          <t xml:space="preserve">  厚生年金（役員）会社負担</t>
        </is>
      </c>
      <c r="C6" s="9" t="n"/>
      <c r="D6" s="9" t="n"/>
      <c r="E6" s="9" t="n">
        <v>25656</v>
      </c>
      <c r="F6" s="9" t="n">
        <v>24904</v>
      </c>
      <c r="G6" s="9" t="n">
        <v>24967</v>
      </c>
      <c r="H6" s="9" t="n">
        <v>24942</v>
      </c>
      <c r="I6" s="10">
        <f>SUM(C6:H6)</f>
        <v/>
      </c>
    </row>
    <row r="7" ht="13" customHeight="1">
      <c r="A7" s="8" t="inlineStr"/>
      <c r="B7" s="8" t="inlineStr">
        <is>
          <t xml:space="preserve">  長野農研</t>
        </is>
      </c>
      <c r="C7" s="9" t="n">
        <v>135300</v>
      </c>
      <c r="D7" s="9" t="n">
        <v>127600</v>
      </c>
      <c r="E7" s="9" t="n">
        <v>155650</v>
      </c>
      <c r="F7" s="9" t="n">
        <v>132000</v>
      </c>
      <c r="G7" s="9" t="n">
        <v>129800</v>
      </c>
      <c r="H7" s="9" t="n">
        <v>127600</v>
      </c>
      <c r="I7" s="10">
        <f>SUM(C7:H7)</f>
        <v/>
      </c>
    </row>
    <row r="8" ht="13" customHeight="1">
      <c r="A8" s="8" t="inlineStr"/>
      <c r="B8" s="8" t="inlineStr">
        <is>
          <t xml:space="preserve">  パウダーアイス社員</t>
        </is>
      </c>
      <c r="C8" s="9" t="n"/>
      <c r="D8" s="9" t="n"/>
      <c r="E8" s="9" t="n">
        <v>302000</v>
      </c>
      <c r="F8" s="9" t="n">
        <v>165228</v>
      </c>
      <c r="G8" s="9" t="n">
        <v>176804</v>
      </c>
      <c r="H8" s="9" t="n">
        <v>172094</v>
      </c>
      <c r="I8" s="10">
        <f>SUM(C8:H8)</f>
        <v/>
      </c>
    </row>
    <row r="9" ht="13" customHeight="1">
      <c r="A9" s="8" t="inlineStr"/>
      <c r="B9" s="8" t="inlineStr">
        <is>
          <t xml:space="preserve">  パウダーアイスPA</t>
        </is>
      </c>
      <c r="C9" s="9" t="n"/>
      <c r="D9" s="9" t="n"/>
      <c r="E9" s="9" t="n">
        <v>400400</v>
      </c>
      <c r="F9" s="9" t="n">
        <v>199632</v>
      </c>
      <c r="G9" s="9" t="n"/>
      <c r="H9" s="9" t="n"/>
      <c r="I9" s="10">
        <f>SUM(C9:H9)</f>
        <v/>
      </c>
    </row>
    <row r="10" ht="13" customHeight="1">
      <c r="A10" s="8" t="inlineStr">
        <is>
          <t>20</t>
        </is>
      </c>
      <c r="B10" s="8" t="inlineStr">
        <is>
          <t xml:space="preserve">  役員報酬</t>
        </is>
      </c>
      <c r="C10" s="9" t="n"/>
      <c r="D10" s="9" t="n"/>
      <c r="E10" s="9" t="n"/>
      <c r="F10" s="9" t="n">
        <v>20090</v>
      </c>
      <c r="G10" s="9" t="n"/>
      <c r="H10" s="9" t="n">
        <v>500000</v>
      </c>
      <c r="I10" s="10">
        <f>SUM(C10:H10)</f>
        <v/>
      </c>
    </row>
    <row r="11" ht="13" customHeight="1">
      <c r="A11" s="8" t="inlineStr"/>
      <c r="B11" s="8" t="inlineStr">
        <is>
          <t xml:space="preserve">  労働保険　（9.11.2.3）</t>
        </is>
      </c>
      <c r="C11" s="9" t="n"/>
      <c r="D11" s="9" t="n"/>
      <c r="E11" s="9" t="n">
        <v>281934</v>
      </c>
      <c r="F11" s="9" t="n"/>
      <c r="G11" s="9" t="n">
        <v>286539</v>
      </c>
      <c r="H11" s="9" t="n"/>
      <c r="I11" s="10">
        <f>SUM(C11:H11)</f>
        <v/>
      </c>
    </row>
    <row r="12" ht="13" customHeight="1">
      <c r="A12" s="8" t="inlineStr">
        <is>
          <t>20</t>
        </is>
      </c>
      <c r="B12" s="8" t="inlineStr">
        <is>
          <t xml:space="preserve">  経理　総務部門　給料（PA）</t>
        </is>
      </c>
      <c r="C12" s="9" t="n"/>
      <c r="D12" s="9" t="n"/>
      <c r="E12" s="9" t="n"/>
      <c r="F12" s="9" t="n"/>
      <c r="G12" s="9" t="n"/>
      <c r="H12" s="9" t="n"/>
      <c r="I12" s="10">
        <f>SUM(C12:H12)</f>
        <v/>
      </c>
    </row>
    <row r="13" ht="1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3" t="n"/>
    </row>
    <row r="14" ht="14" customHeight="1">
      <c r="A14" s="4" t="n"/>
      <c r="B14" s="5" t="inlineStr">
        <is>
          <t>▶ 雑費</t>
        </is>
      </c>
      <c r="C14" s="6">
        <f>SUM(C15:C40)</f>
        <v/>
      </c>
      <c r="D14" s="6">
        <f>SUM(D15:D40)</f>
        <v/>
      </c>
      <c r="E14" s="6">
        <f>SUM(E15:E40)</f>
        <v/>
      </c>
      <c r="F14" s="6">
        <f>SUM(F15:F40)</f>
        <v/>
      </c>
      <c r="G14" s="6">
        <f>SUM(G15:G40)</f>
        <v/>
      </c>
      <c r="H14" s="6">
        <f>SUM(H15:H40)</f>
        <v/>
      </c>
      <c r="I14" s="7">
        <f>SUM(I15:I40)</f>
        <v/>
      </c>
    </row>
    <row r="15" ht="13" customHeight="1">
      <c r="A15" s="8" t="inlineStr">
        <is>
          <t>10</t>
        </is>
      </c>
      <c r="B15" s="8" t="inlineStr">
        <is>
          <t xml:space="preserve">  ｼﾝｷﾝJCB　ETC ｶﾞｿﾘﾝ代</t>
        </is>
      </c>
      <c r="C15" s="9" t="n">
        <v>49180</v>
      </c>
      <c r="D15" s="9" t="n">
        <v>33410</v>
      </c>
      <c r="E15" s="9" t="n">
        <v>42840</v>
      </c>
      <c r="F15" s="9" t="n">
        <v>31640</v>
      </c>
      <c r="G15" s="9" t="n">
        <v>19740</v>
      </c>
      <c r="H15" s="9" t="n">
        <v>18070</v>
      </c>
      <c r="I15" s="10">
        <f>SUM(C15:H15)</f>
        <v/>
      </c>
    </row>
    <row r="16" ht="13" customHeight="1">
      <c r="A16" s="8" t="inlineStr">
        <is>
          <t>2</t>
        </is>
      </c>
      <c r="B16" s="8" t="inlineStr">
        <is>
          <t xml:space="preserve">  ENEOS　ビジネスカード</t>
        </is>
      </c>
      <c r="C16" s="9" t="n">
        <v>39760</v>
      </c>
      <c r="D16" s="9" t="n">
        <v>66150</v>
      </c>
      <c r="E16" s="9" t="n">
        <v>36188</v>
      </c>
      <c r="F16" s="9" t="n">
        <v>56275</v>
      </c>
      <c r="G16" s="9" t="n">
        <v>56093</v>
      </c>
      <c r="H16" s="9" t="n">
        <v>73368</v>
      </c>
      <c r="I16" s="10">
        <f>SUM(C16:H16)</f>
        <v/>
      </c>
    </row>
    <row r="17" ht="13" customHeight="1">
      <c r="A17" s="8" t="inlineStr"/>
      <c r="B17" s="8" t="inlineStr">
        <is>
          <t xml:space="preserve">  振込手数料</t>
        </is>
      </c>
      <c r="C17" s="9" t="n">
        <v>39215</v>
      </c>
      <c r="D17" s="9" t="n">
        <v>40975</v>
      </c>
      <c r="E17" s="9" t="n">
        <v>37180</v>
      </c>
      <c r="F17" s="9" t="n">
        <v>39930</v>
      </c>
      <c r="G17" s="9" t="n">
        <v>35200</v>
      </c>
      <c r="H17" s="9" t="n">
        <v>41965</v>
      </c>
      <c r="I17" s="10">
        <f>SUM(C17:H17)</f>
        <v/>
      </c>
    </row>
    <row r="18" ht="13" customHeight="1">
      <c r="A18" s="8" t="inlineStr"/>
      <c r="B18" s="8" t="inlineStr">
        <is>
          <t xml:space="preserve">  十六社長カード　交際費</t>
        </is>
      </c>
      <c r="C18" s="9" t="n">
        <v>40785</v>
      </c>
      <c r="D18" s="9" t="n">
        <v>55173</v>
      </c>
      <c r="E18" s="9" t="n">
        <v>74645</v>
      </c>
      <c r="F18" s="9" t="n">
        <v>35635</v>
      </c>
      <c r="G18" s="9" t="n">
        <v>67369</v>
      </c>
      <c r="H18" s="9" t="n">
        <v>30703</v>
      </c>
      <c r="I18" s="10">
        <f>SUM(C18:H18)</f>
        <v/>
      </c>
    </row>
    <row r="19" ht="13" customHeight="1">
      <c r="A19" s="8" t="inlineStr">
        <is>
          <t>3</t>
        </is>
      </c>
      <c r="B19" s="8" t="inlineStr">
        <is>
          <t xml:space="preserve">  小口現金　本社</t>
        </is>
      </c>
      <c r="C19" s="9" t="n"/>
      <c r="D19" s="9" t="n">
        <v>100000</v>
      </c>
      <c r="E19" s="9" t="n">
        <v>100000</v>
      </c>
      <c r="F19" s="9" t="n">
        <v>100000</v>
      </c>
      <c r="G19" s="9" t="n">
        <v>100000</v>
      </c>
      <c r="H19" s="9" t="n">
        <v>150000</v>
      </c>
      <c r="I19" s="10">
        <f>SUM(C19:H19)</f>
        <v/>
      </c>
    </row>
    <row r="20" ht="13" customHeight="1">
      <c r="A20" s="8" t="inlineStr">
        <is>
          <t>20</t>
        </is>
      </c>
      <c r="B20" s="8" t="inlineStr">
        <is>
          <t xml:space="preserve">  小口現金</t>
        </is>
      </c>
      <c r="C20" s="14" t="n"/>
      <c r="D20" s="14" t="n">
        <v>100000</v>
      </c>
      <c r="E20" s="14" t="n"/>
      <c r="F20" s="14" t="n"/>
      <c r="G20" s="14" t="n">
        <v>100000</v>
      </c>
      <c r="H20" s="14" t="n"/>
      <c r="I20" s="10">
        <f>SUM(C20:H20)</f>
        <v/>
      </c>
    </row>
    <row r="21" ht="13" customHeight="1">
      <c r="A21" s="8" t="inlineStr">
        <is>
          <t>6</t>
        </is>
      </c>
      <c r="B21" s="8" t="inlineStr">
        <is>
          <t xml:space="preserve">  セディナ新幹線（社長）</t>
        </is>
      </c>
      <c r="C21" s="9" t="n">
        <v>27070</v>
      </c>
      <c r="D21" s="9" t="n">
        <v>1470</v>
      </c>
      <c r="E21" s="9" t="n">
        <v>62840</v>
      </c>
      <c r="F21" s="9" t="n">
        <v>10780</v>
      </c>
      <c r="G21" s="9" t="n"/>
      <c r="H21" s="9" t="n"/>
      <c r="I21" s="10">
        <f>SUM(C21:H21)</f>
        <v/>
      </c>
    </row>
    <row r="22" ht="13" customHeight="1">
      <c r="A22" s="8" t="inlineStr"/>
      <c r="B22" s="8" t="inlineStr">
        <is>
          <t xml:space="preserve">  全保連　立替(グットライフ東京）</t>
        </is>
      </c>
      <c r="C22" s="14" t="n"/>
      <c r="D22" s="14" t="n">
        <v>112530</v>
      </c>
      <c r="E22" s="14" t="n">
        <v>112530</v>
      </c>
      <c r="F22" s="14" t="n">
        <v>112530</v>
      </c>
      <c r="G22" s="14" t="n">
        <v>112530</v>
      </c>
      <c r="H22" s="14" t="n"/>
      <c r="I22" s="10">
        <f>SUM(C22:H22)</f>
        <v/>
      </c>
    </row>
    <row r="23" ht="13" customHeight="1">
      <c r="A23" s="8" t="inlineStr"/>
      <c r="B23" s="8" t="inlineStr">
        <is>
          <t xml:space="preserve">  佐川急便</t>
        </is>
      </c>
      <c r="C23" s="9" t="n">
        <v>14168</v>
      </c>
      <c r="D23" s="9" t="n"/>
      <c r="E23" s="9" t="n"/>
      <c r="F23" s="9" t="n"/>
      <c r="G23" s="9" t="n">
        <v>3234</v>
      </c>
      <c r="H23" s="9" t="n"/>
      <c r="I23" s="10">
        <f>SUM(C23:H23)</f>
        <v/>
      </c>
    </row>
    <row r="24" ht="13" customHeight="1">
      <c r="A24" s="8" t="inlineStr">
        <is>
          <t>10</t>
        </is>
      </c>
      <c r="B24" s="8" t="inlineStr">
        <is>
          <t xml:space="preserve">  大垣園芸</t>
        </is>
      </c>
      <c r="C24" s="9" t="n">
        <v>44000</v>
      </c>
      <c r="D24" s="9" t="n"/>
      <c r="E24" s="9" t="n"/>
      <c r="F24" s="9" t="n"/>
      <c r="G24" s="9" t="n">
        <v>33000</v>
      </c>
      <c r="H24" s="9" t="n"/>
      <c r="I24" s="10">
        <f>SUM(C24:H24)</f>
        <v/>
      </c>
    </row>
    <row r="25" ht="13" customHeight="1">
      <c r="A25" s="8" t="inlineStr">
        <is>
          <t>20</t>
        </is>
      </c>
      <c r="B25" s="8" t="inlineStr">
        <is>
          <t xml:space="preserve">  Rサプライ</t>
        </is>
      </c>
      <c r="C25" s="14" t="n"/>
      <c r="D25" s="14" t="n"/>
      <c r="E25" s="14" t="n"/>
      <c r="F25" s="14" t="n"/>
      <c r="G25" s="14" t="n">
        <v>9601</v>
      </c>
      <c r="H25" s="14" t="n">
        <v>9601</v>
      </c>
      <c r="I25" s="10">
        <f>SUM(C25:H25)</f>
        <v/>
      </c>
    </row>
    <row r="26" ht="13" customHeight="1">
      <c r="A26" s="8" t="inlineStr"/>
      <c r="B26" s="8" t="inlineStr">
        <is>
          <t xml:space="preserve">  ﾔﾏﾄ</t>
        </is>
      </c>
      <c r="C26" s="9" t="n"/>
      <c r="D26" s="9" t="n"/>
      <c r="E26" s="9" t="n"/>
      <c r="F26" s="9" t="n"/>
      <c r="G26" s="9" t="n">
        <v>880</v>
      </c>
      <c r="H26" s="9" t="n"/>
      <c r="I26" s="10">
        <f>SUM(C26:H26)</f>
        <v/>
      </c>
    </row>
    <row r="27" ht="13" customHeight="1">
      <c r="A27" s="8" t="inlineStr"/>
      <c r="B27" s="8" t="inlineStr">
        <is>
          <t xml:space="preserve">  ㈱QuietHills</t>
        </is>
      </c>
      <c r="C27" s="9" t="n">
        <v>10773</v>
      </c>
      <c r="D27" s="9" t="n"/>
      <c r="E27" s="9" t="n"/>
      <c r="F27" s="9" t="n"/>
      <c r="G27" s="9" t="n"/>
      <c r="H27" s="9" t="n"/>
      <c r="I27" s="10">
        <f>SUM(C27:H27)</f>
        <v/>
      </c>
    </row>
    <row r="28" ht="13" customHeight="1">
      <c r="A28" s="8" t="inlineStr"/>
      <c r="B28" s="8" t="inlineStr">
        <is>
          <t xml:space="preserve">  ㈱QuietHills　販売商品</t>
        </is>
      </c>
      <c r="C28" s="9" t="n"/>
      <c r="D28" s="9" t="n"/>
      <c r="E28" s="9" t="n"/>
      <c r="F28" s="9" t="n"/>
      <c r="G28" s="9" t="n"/>
      <c r="H28" s="9" t="n">
        <v>6464</v>
      </c>
      <c r="I28" s="10">
        <f>SUM(C28:H28)</f>
        <v/>
      </c>
    </row>
    <row r="29" ht="13" customHeight="1">
      <c r="A29" s="8" t="inlineStr"/>
      <c r="B29" s="8" t="inlineStr">
        <is>
          <t xml:space="preserve">  羽島市観光協会</t>
        </is>
      </c>
      <c r="C29" s="9" t="n">
        <v>10000</v>
      </c>
      <c r="D29" s="9" t="n"/>
      <c r="E29" s="9" t="n"/>
      <c r="F29" s="9" t="n"/>
      <c r="G29" s="9" t="n"/>
      <c r="H29" s="9" t="n"/>
      <c r="I29" s="10">
        <f>SUM(C29:H29)</f>
        <v/>
      </c>
    </row>
    <row r="30" ht="13" customHeight="1">
      <c r="A30" s="8" t="inlineStr"/>
      <c r="B30" s="8" t="inlineStr">
        <is>
          <t xml:space="preserve">  エムテック防災</t>
        </is>
      </c>
      <c r="C30" s="9" t="n">
        <v>11000</v>
      </c>
      <c r="D30" s="9" t="n"/>
      <c r="E30" s="9" t="n"/>
      <c r="F30" s="9" t="n"/>
      <c r="G30" s="9" t="n"/>
      <c r="H30" s="9" t="n"/>
      <c r="I30" s="10">
        <f>SUM(C30:H30)</f>
        <v/>
      </c>
    </row>
    <row r="31" ht="13" customHeight="1">
      <c r="A31" s="8" t="inlineStr"/>
      <c r="B31" s="8" t="inlineStr">
        <is>
          <t xml:space="preserve">  トヨタ　タイヤ交換</t>
        </is>
      </c>
      <c r="C31" s="9" t="n">
        <v>6600</v>
      </c>
      <c r="D31" s="9" t="n"/>
      <c r="E31" s="9" t="n"/>
      <c r="F31" s="9" t="n"/>
      <c r="G31" s="9" t="n"/>
      <c r="H31" s="9" t="n"/>
      <c r="I31" s="10">
        <f>SUM(C31:H31)</f>
        <v/>
      </c>
    </row>
    <row r="32" ht="13" customHeight="1">
      <c r="A32" s="8" t="inlineStr"/>
      <c r="B32" s="8" t="inlineStr">
        <is>
          <t xml:space="preserve">  トヨタ　シエンタ整備</t>
        </is>
      </c>
      <c r="C32" s="9" t="n"/>
      <c r="D32" s="9" t="n"/>
      <c r="E32" s="9" t="n"/>
      <c r="F32" s="9" t="n"/>
      <c r="G32" s="9" t="n"/>
      <c r="H32" s="9" t="n">
        <v>3410</v>
      </c>
      <c r="I32" s="10">
        <f>SUM(C32:H32)</f>
        <v/>
      </c>
    </row>
    <row r="33" ht="13" customHeight="1">
      <c r="A33" s="8" t="inlineStr"/>
      <c r="B33" s="8" t="inlineStr">
        <is>
          <t xml:space="preserve">  フルーツ羽島</t>
        </is>
      </c>
      <c r="C33" s="9" t="n"/>
      <c r="D33" s="9" t="n"/>
      <c r="E33" s="9" t="n">
        <v>12070</v>
      </c>
      <c r="F33" s="9" t="n"/>
      <c r="G33" s="9" t="n"/>
      <c r="H33" s="9" t="n"/>
      <c r="I33" s="10">
        <f>SUM(C33:H33)</f>
        <v/>
      </c>
    </row>
    <row r="34" ht="13" customHeight="1">
      <c r="A34" s="8" t="inlineStr"/>
      <c r="B34" s="8" t="inlineStr">
        <is>
          <t xml:space="preserve">  伊自良モーターズ</t>
        </is>
      </c>
      <c r="C34" s="9" t="n"/>
      <c r="D34" s="9" t="n"/>
      <c r="E34" s="9" t="n">
        <v>120592</v>
      </c>
      <c r="F34" s="9" t="n"/>
      <c r="G34" s="9" t="n"/>
      <c r="H34" s="9" t="n"/>
      <c r="I34" s="10">
        <f>SUM(C34:H34)</f>
        <v/>
      </c>
    </row>
    <row r="35" ht="13" customHeight="1">
      <c r="A35" s="8" t="inlineStr"/>
      <c r="B35" s="8" t="inlineStr">
        <is>
          <t xml:space="preserve">  ヒーリングエンターテイメント</t>
        </is>
      </c>
      <c r="C35" s="9" t="n"/>
      <c r="D35" s="9" t="n"/>
      <c r="E35" s="9" t="n">
        <v>6464</v>
      </c>
      <c r="F35" s="9" t="n"/>
      <c r="G35" s="9" t="n"/>
      <c r="H35" s="9" t="n"/>
      <c r="I35" s="10">
        <f>SUM(C35:H35)</f>
        <v/>
      </c>
    </row>
    <row r="36" ht="13" customHeight="1">
      <c r="A36" s="8" t="inlineStr"/>
      <c r="B36" s="8" t="inlineStr">
        <is>
          <t xml:space="preserve">  島区</t>
        </is>
      </c>
      <c r="C36" s="9" t="n"/>
      <c r="D36" s="9" t="n"/>
      <c r="E36" s="9" t="n"/>
      <c r="F36" s="9" t="n"/>
      <c r="G36" s="9" t="n">
        <v>25000</v>
      </c>
      <c r="H36" s="9" t="n"/>
      <c r="I36" s="10">
        <f>SUM(C36:H36)</f>
        <v/>
      </c>
    </row>
    <row r="37" ht="13" customHeight="1">
      <c r="A37" s="8" t="inlineStr"/>
      <c r="B37" s="8" t="inlineStr">
        <is>
          <t xml:space="preserve">  AJ立替　十六リース</t>
        </is>
      </c>
      <c r="C37" s="9" t="n"/>
      <c r="D37" s="9" t="n"/>
      <c r="E37" s="9" t="n"/>
      <c r="F37" s="9" t="n"/>
      <c r="G37" s="9" t="n">
        <v>118140</v>
      </c>
      <c r="H37" s="9" t="n"/>
      <c r="I37" s="10">
        <f>SUM(C37:H37)</f>
        <v/>
      </c>
    </row>
    <row r="38" ht="13" customHeight="1">
      <c r="A38" s="8" t="inlineStr"/>
      <c r="B38" s="8" t="inlineStr">
        <is>
          <t xml:space="preserve">  ぎふ駅前フェス</t>
        </is>
      </c>
      <c r="C38" s="9" t="n"/>
      <c r="D38" s="9" t="n"/>
      <c r="E38" s="9" t="n"/>
      <c r="F38" s="9" t="n"/>
      <c r="G38" s="9" t="n">
        <v>100000</v>
      </c>
      <c r="H38" s="9" t="n"/>
      <c r="I38" s="10">
        <f>SUM(C38:H38)</f>
        <v/>
      </c>
    </row>
    <row r="39" ht="13" customHeight="1">
      <c r="A39" s="8" t="inlineStr">
        <is>
          <t>20</t>
        </is>
      </c>
      <c r="B39" s="8" t="inlineStr">
        <is>
          <t xml:space="preserve">  商工会　会費</t>
        </is>
      </c>
      <c r="C39" s="9" t="n"/>
      <c r="D39" s="9" t="n"/>
      <c r="E39" s="9" t="n"/>
      <c r="F39" s="9" t="n"/>
      <c r="G39" s="9" t="n"/>
      <c r="H39" s="9" t="n">
        <v>75000</v>
      </c>
      <c r="I39" s="10">
        <f>SUM(C39:H39)</f>
        <v/>
      </c>
    </row>
    <row r="40" ht="12" customHeight="1">
      <c r="A40" s="11" t="n"/>
      <c r="B40" s="11" t="n"/>
      <c r="C40" s="12" t="n"/>
      <c r="D40" s="12" t="n"/>
      <c r="E40" s="12" t="n"/>
      <c r="F40" s="12" t="n"/>
      <c r="G40" s="12" t="n"/>
      <c r="H40" s="12" t="n"/>
      <c r="I40" s="13" t="n"/>
    </row>
    <row r="41" ht="14" customHeight="1">
      <c r="A41" s="4" t="n"/>
      <c r="B41" s="5" t="inlineStr">
        <is>
          <t>▶ 福祉部門</t>
        </is>
      </c>
      <c r="C41" s="6">
        <f>SUM(C42:C44)</f>
        <v/>
      </c>
      <c r="D41" s="6">
        <f>SUM(D42:D44)</f>
        <v/>
      </c>
      <c r="E41" s="6">
        <f>SUM(E42:E44)</f>
        <v/>
      </c>
      <c r="F41" s="6">
        <f>SUM(F42:F44)</f>
        <v/>
      </c>
      <c r="G41" s="6">
        <f>SUM(G42:G44)</f>
        <v/>
      </c>
      <c r="H41" s="6">
        <f>SUM(H42:H44)</f>
        <v/>
      </c>
      <c r="I41" s="7">
        <f>SUM(I42:I44)</f>
        <v/>
      </c>
    </row>
    <row r="42" ht="13" customHeight="1">
      <c r="A42" s="8" t="inlineStr"/>
      <c r="B42" s="8" t="inlineStr">
        <is>
          <t xml:space="preserve">  ウェルピア　→　大日就労移行人件費</t>
        </is>
      </c>
      <c r="C42" s="9" t="n">
        <v>93323</v>
      </c>
      <c r="D42" s="9" t="n">
        <v>97767</v>
      </c>
      <c r="E42" s="9" t="n">
        <v>84554</v>
      </c>
      <c r="F42" s="9" t="n">
        <v>120760</v>
      </c>
      <c r="G42" s="9" t="n">
        <v>208247</v>
      </c>
      <c r="H42" s="9" t="n">
        <v>259690</v>
      </c>
      <c r="I42" s="10">
        <f>SUM(C42:H42)</f>
        <v/>
      </c>
    </row>
    <row r="43" ht="13" customHeight="1">
      <c r="A43" s="8" t="inlineStr"/>
      <c r="B43" s="8" t="inlineStr">
        <is>
          <t xml:space="preserve">  ウェルピア業務委託費へ（羽島）</t>
        </is>
      </c>
      <c r="C43" s="9" t="n">
        <v>1401899</v>
      </c>
      <c r="D43" s="9" t="n">
        <v>650000</v>
      </c>
      <c r="E43" s="9" t="n">
        <v>650000</v>
      </c>
      <c r="F43" s="9" t="n">
        <v>650000</v>
      </c>
      <c r="G43" s="9" t="n">
        <v>650000</v>
      </c>
      <c r="H43" s="9" t="n">
        <v>650000</v>
      </c>
      <c r="I43" s="10">
        <f>SUM(C43:H43)</f>
        <v/>
      </c>
    </row>
    <row r="44" ht="12" customHeight="1">
      <c r="A44" s="11" t="n"/>
      <c r="B44" s="11" t="n"/>
      <c r="C44" s="12" t="n"/>
      <c r="D44" s="12" t="n"/>
      <c r="E44" s="12" t="n"/>
      <c r="F44" s="12" t="n"/>
      <c r="G44" s="12" t="n"/>
      <c r="H44" s="12" t="n"/>
      <c r="I44" s="13" t="n"/>
    </row>
    <row r="45" ht="14" customHeight="1">
      <c r="A45" s="4" t="n"/>
      <c r="B45" s="5" t="inlineStr">
        <is>
          <t>▶ 銀行返済</t>
        </is>
      </c>
      <c r="C45" s="6">
        <f>SUM(C46:C50)</f>
        <v/>
      </c>
      <c r="D45" s="6">
        <f>SUM(D46:D50)</f>
        <v/>
      </c>
      <c r="E45" s="6">
        <f>SUM(E46:E50)</f>
        <v/>
      </c>
      <c r="F45" s="6">
        <f>SUM(F46:F50)</f>
        <v/>
      </c>
      <c r="G45" s="6">
        <f>SUM(G46:G50)</f>
        <v/>
      </c>
      <c r="H45" s="6">
        <f>SUM(H46:H50)</f>
        <v/>
      </c>
      <c r="I45" s="7">
        <f>SUM(I46:I50)</f>
        <v/>
      </c>
    </row>
    <row r="46" ht="13" customHeight="1">
      <c r="A46" s="8" t="inlineStr">
        <is>
          <t>25</t>
        </is>
      </c>
      <c r="B46" s="8" t="inlineStr">
        <is>
          <t xml:space="preserve">  岐信　2400万　アクトス（1回〜6回）</t>
        </is>
      </c>
      <c r="C46" s="9" t="n">
        <v>226806</v>
      </c>
      <c r="D46" s="9" t="n">
        <v>226507</v>
      </c>
      <c r="E46" s="9" t="n">
        <v>225203</v>
      </c>
      <c r="F46" s="9" t="n">
        <v>225911</v>
      </c>
      <c r="G46" s="9" t="n">
        <v>224626</v>
      </c>
      <c r="H46" s="9" t="n">
        <v>225315</v>
      </c>
      <c r="I46" s="10">
        <f>SUM(C46:H46)</f>
        <v/>
      </c>
    </row>
    <row r="47" ht="13" customHeight="1">
      <c r="A47" s="8" t="inlineStr">
        <is>
          <t>25</t>
        </is>
      </c>
      <c r="B47" s="8" t="inlineStr">
        <is>
          <t xml:space="preserve">  岐信7千万円（11回〜14回）</t>
        </is>
      </c>
      <c r="C47" s="9" t="n">
        <v>957985</v>
      </c>
      <c r="D47" s="9" t="n">
        <v>956285</v>
      </c>
      <c r="E47" s="9" t="n">
        <v>950695</v>
      </c>
      <c r="F47" s="9" t="n">
        <v>952885</v>
      </c>
      <c r="G47" s="9" t="n"/>
      <c r="H47" s="9" t="n"/>
      <c r="I47" s="10">
        <f>SUM(C47:H47)</f>
        <v/>
      </c>
    </row>
    <row r="48" ht="13" customHeight="1">
      <c r="A48" s="8" t="inlineStr">
        <is>
          <t>25</t>
        </is>
      </c>
      <c r="B48" s="8" t="inlineStr">
        <is>
          <t xml:space="preserve">  岐信　2700万　EK屋根太陽光（93回〜96回）</t>
        </is>
      </c>
      <c r="C48" s="9" t="n">
        <v>234674</v>
      </c>
      <c r="D48" s="9" t="n">
        <v>226507</v>
      </c>
      <c r="E48" s="9" t="n">
        <v>233668</v>
      </c>
      <c r="F48" s="9" t="n">
        <v>233599</v>
      </c>
      <c r="G48" s="9" t="n"/>
      <c r="H48" s="9" t="n"/>
      <c r="I48" s="10">
        <f>SUM(C48:H48)</f>
        <v/>
      </c>
    </row>
    <row r="49" ht="13" customHeight="1">
      <c r="A49" s="8" t="inlineStr">
        <is>
          <t>25</t>
        </is>
      </c>
      <c r="B49" s="8" t="inlineStr">
        <is>
          <t xml:space="preserve">  岐信　4000万　R7.7～（1回〜2回）</t>
        </is>
      </c>
      <c r="C49" s="9" t="n">
        <v>418120</v>
      </c>
      <c r="D49" s="9" t="n">
        <v>417679</v>
      </c>
      <c r="E49" s="9" t="n">
        <v>415746</v>
      </c>
      <c r="F49" s="9" t="n"/>
      <c r="G49" s="9" t="n"/>
      <c r="H49" s="9" t="n"/>
      <c r="I49" s="10">
        <f>SUM(C49:H49)</f>
        <v/>
      </c>
    </row>
    <row r="50" ht="12" customHeight="1">
      <c r="A50" s="11" t="n"/>
      <c r="B50" s="11" t="n"/>
      <c r="C50" s="12" t="n"/>
      <c r="D50" s="12" t="n"/>
      <c r="E50" s="12" t="n"/>
      <c r="F50" s="12" t="n"/>
      <c r="G50" s="12" t="n"/>
      <c r="H50" s="12" t="n"/>
      <c r="I50" s="13" t="n"/>
    </row>
    <row r="51" ht="14" customHeight="1">
      <c r="A51" s="4" t="n"/>
      <c r="B51" s="5" t="inlineStr">
        <is>
          <t>▶ 顧問料  定額雑費</t>
        </is>
      </c>
      <c r="C51" s="6">
        <f>SUM(C52:C61)</f>
        <v/>
      </c>
      <c r="D51" s="6">
        <f>SUM(D52:D61)</f>
        <v/>
      </c>
      <c r="E51" s="6">
        <f>SUM(E52:E61)</f>
        <v/>
      </c>
      <c r="F51" s="6">
        <f>SUM(F52:F61)</f>
        <v/>
      </c>
      <c r="G51" s="6">
        <f>SUM(G52:G61)</f>
        <v/>
      </c>
      <c r="H51" s="6">
        <f>SUM(H52:H61)</f>
        <v/>
      </c>
      <c r="I51" s="7">
        <f>SUM(I52:I61)</f>
        <v/>
      </c>
    </row>
    <row r="52" ht="13" customHeight="1">
      <c r="A52" s="8" t="inlineStr">
        <is>
          <t>31</t>
        </is>
      </c>
      <c r="B52" s="8" t="inlineStr">
        <is>
          <t xml:space="preserve">  高橋弁護士事務所</t>
        </is>
      </c>
      <c r="C52" s="14" t="n">
        <v>20540</v>
      </c>
      <c r="D52" s="14" t="n">
        <v>20540</v>
      </c>
      <c r="E52" s="14" t="n">
        <v>20540</v>
      </c>
      <c r="F52" s="14" t="n">
        <v>20540</v>
      </c>
      <c r="G52" s="14" t="n">
        <v>20540</v>
      </c>
      <c r="H52" s="14" t="n">
        <v>20540</v>
      </c>
      <c r="I52" s="10">
        <f>SUM(C52:H52)</f>
        <v/>
      </c>
    </row>
    <row r="53" ht="13" customHeight="1">
      <c r="A53" s="8" t="inlineStr">
        <is>
          <t>15</t>
        </is>
      </c>
      <c r="B53" s="8" t="inlineStr">
        <is>
          <t xml:space="preserve">  ギフシン.大共ネットバンク</t>
        </is>
      </c>
      <c r="C53" s="14" t="n">
        <v>6600</v>
      </c>
      <c r="D53" s="14" t="n">
        <v>6600</v>
      </c>
      <c r="E53" s="14" t="n">
        <v>6600</v>
      </c>
      <c r="F53" s="14" t="n">
        <v>6600</v>
      </c>
      <c r="G53" s="14" t="n">
        <v>6600</v>
      </c>
      <c r="H53" s="14" t="n">
        <v>6600</v>
      </c>
      <c r="I53" s="10">
        <f>SUM(C53:H53)</f>
        <v/>
      </c>
    </row>
    <row r="54" ht="13" customHeight="1">
      <c r="A54" s="8" t="inlineStr">
        <is>
          <t>23</t>
        </is>
      </c>
      <c r="B54" s="8" t="inlineStr">
        <is>
          <t xml:space="preserve">  位田会計</t>
        </is>
      </c>
      <c r="C54" s="9" t="n">
        <v>36200</v>
      </c>
      <c r="D54" s="9" t="n">
        <v>254100</v>
      </c>
      <c r="E54" s="9" t="n">
        <v>36300</v>
      </c>
      <c r="F54" s="9" t="n">
        <v>36300</v>
      </c>
      <c r="G54" s="9" t="n">
        <v>77600</v>
      </c>
      <c r="H54" s="9" t="n">
        <v>36300</v>
      </c>
      <c r="I54" s="10">
        <f>SUM(C54:H54)</f>
        <v/>
      </c>
    </row>
    <row r="55" ht="13" customHeight="1">
      <c r="A55" s="8" t="inlineStr"/>
      <c r="B55" s="8" t="inlineStr">
        <is>
          <t xml:space="preserve">  F&amp;M　事業再構築＆顧問料</t>
        </is>
      </c>
      <c r="C55" s="14" t="n">
        <v>49500</v>
      </c>
      <c r="D55" s="14" t="n">
        <v>49500</v>
      </c>
      <c r="E55" s="14" t="n">
        <v>49500</v>
      </c>
      <c r="F55" s="14" t="n">
        <v>49500</v>
      </c>
      <c r="G55" s="14" t="n">
        <v>49500</v>
      </c>
      <c r="H55" s="14" t="n">
        <v>49500</v>
      </c>
      <c r="I55" s="10">
        <f>SUM(C55:H55)</f>
        <v/>
      </c>
    </row>
    <row r="56" ht="13" customHeight="1">
      <c r="A56" s="8" t="inlineStr">
        <is>
          <t>9</t>
        </is>
      </c>
      <c r="B56" s="8" t="inlineStr">
        <is>
          <t xml:space="preserve">  ブリックス社労士</t>
        </is>
      </c>
      <c r="C56" s="9" t="n">
        <v>45000</v>
      </c>
      <c r="D56" s="9" t="n">
        <v>45000</v>
      </c>
      <c r="E56" s="9" t="n">
        <v>45000</v>
      </c>
      <c r="F56" s="9" t="n">
        <v>45000</v>
      </c>
      <c r="G56" s="9" t="n">
        <v>22952</v>
      </c>
      <c r="H56" s="9" t="n">
        <v>22952</v>
      </c>
      <c r="I56" s="10">
        <f>SUM(C56:H56)</f>
        <v/>
      </c>
    </row>
    <row r="57" ht="13" customHeight="1">
      <c r="A57" s="8" t="inlineStr"/>
      <c r="B57" s="8" t="inlineStr">
        <is>
          <t xml:space="preserve">  リコー（サイボーズ）</t>
        </is>
      </c>
      <c r="C57" s="14" t="n">
        <v>6600</v>
      </c>
      <c r="D57" s="14" t="n">
        <v>6600</v>
      </c>
      <c r="E57" s="14" t="n">
        <v>6600</v>
      </c>
      <c r="F57" s="14" t="n">
        <v>6600</v>
      </c>
      <c r="G57" s="14" t="n">
        <v>6600</v>
      </c>
      <c r="H57" s="14" t="n">
        <v>6600</v>
      </c>
      <c r="I57" s="10">
        <f>SUM(C57:H57)</f>
        <v/>
      </c>
    </row>
    <row r="58" ht="13" customHeight="1">
      <c r="A58" s="8" t="inlineStr"/>
      <c r="B58" s="8" t="inlineStr">
        <is>
          <t xml:space="preserve">  中日新聞　日浦新聞店/タキ新聞店</t>
        </is>
      </c>
      <c r="C58" s="9" t="n">
        <v>9600</v>
      </c>
      <c r="D58" s="9" t="n">
        <v>9600</v>
      </c>
      <c r="E58" s="9" t="n">
        <v>9600</v>
      </c>
      <c r="F58" s="9" t="n">
        <v>9600</v>
      </c>
      <c r="G58" s="9" t="n">
        <v>3950</v>
      </c>
      <c r="H58" s="9" t="n">
        <v>3950</v>
      </c>
      <c r="I58" s="10">
        <f>SUM(C58:H58)</f>
        <v/>
      </c>
    </row>
    <row r="59" ht="13" customHeight="1">
      <c r="A59" s="8" t="inlineStr"/>
      <c r="B59" s="8" t="inlineStr">
        <is>
          <t xml:space="preserve">  電子契約BANK</t>
        </is>
      </c>
      <c r="C59" s="14" t="n">
        <v>5480</v>
      </c>
      <c r="D59" s="14" t="n">
        <v>5480</v>
      </c>
      <c r="E59" s="14" t="n">
        <v>5480</v>
      </c>
      <c r="F59" s="14" t="n">
        <v>5480</v>
      </c>
      <c r="G59" s="14" t="n">
        <v>5480</v>
      </c>
      <c r="H59" s="14" t="n">
        <v>5480</v>
      </c>
      <c r="I59" s="10">
        <f>SUM(C59:H59)</f>
        <v/>
      </c>
    </row>
    <row r="60" ht="13" customHeight="1">
      <c r="A60" s="8" t="inlineStr">
        <is>
          <t>30</t>
        </is>
      </c>
      <c r="B60" s="8" t="inlineStr">
        <is>
          <t xml:space="preserve">  デイビットベイ会長　顧問料</t>
        </is>
      </c>
      <c r="C60" s="14" t="n">
        <v>550000</v>
      </c>
      <c r="D60" s="14" t="n">
        <v>550000</v>
      </c>
      <c r="E60" s="14" t="n"/>
      <c r="F60" s="14" t="n"/>
      <c r="G60" s="14" t="n"/>
      <c r="H60" s="14" t="n"/>
      <c r="I60" s="10">
        <f>SUM(C60:H60)</f>
        <v/>
      </c>
    </row>
    <row r="61" ht="1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3" t="n"/>
    </row>
    <row r="62" ht="14" customHeight="1">
      <c r="A62" s="4" t="n"/>
      <c r="B62" s="5" t="inlineStr">
        <is>
          <t>▶ 保険料</t>
        </is>
      </c>
      <c r="C62" s="6">
        <f>SUM(C63:C68)</f>
        <v/>
      </c>
      <c r="D62" s="6">
        <f>SUM(D63:D68)</f>
        <v/>
      </c>
      <c r="E62" s="6">
        <f>SUM(E63:E68)</f>
        <v/>
      </c>
      <c r="F62" s="6">
        <f>SUM(F63:F68)</f>
        <v/>
      </c>
      <c r="G62" s="6">
        <f>SUM(G63:G68)</f>
        <v/>
      </c>
      <c r="H62" s="6">
        <f>SUM(H63:H68)</f>
        <v/>
      </c>
      <c r="I62" s="7">
        <f>SUM(I63:I68)</f>
        <v/>
      </c>
    </row>
    <row r="63" ht="13" customHeight="1">
      <c r="A63" s="8" t="inlineStr">
        <is>
          <t>27</t>
        </is>
      </c>
      <c r="B63" s="8" t="inlineStr">
        <is>
          <t xml:space="preserve">  日本生命</t>
        </is>
      </c>
      <c r="C63" s="14" t="n">
        <v>37816</v>
      </c>
      <c r="D63" s="14" t="n">
        <v>37816</v>
      </c>
      <c r="E63" s="14" t="n">
        <v>37816</v>
      </c>
      <c r="F63" s="14" t="n">
        <v>37816</v>
      </c>
      <c r="G63" s="14" t="n">
        <v>37816</v>
      </c>
      <c r="H63" s="14" t="n">
        <v>37816</v>
      </c>
      <c r="I63" s="10">
        <f>SUM(C63:H63)</f>
        <v/>
      </c>
    </row>
    <row r="64" ht="13" customHeight="1">
      <c r="A64" s="8" t="inlineStr">
        <is>
          <t>27</t>
        </is>
      </c>
      <c r="B64" s="8" t="inlineStr">
        <is>
          <t xml:space="preserve">  メットライフ生命</t>
        </is>
      </c>
      <c r="C64" s="14" t="n">
        <v>14660</v>
      </c>
      <c r="D64" s="14" t="n">
        <v>14660</v>
      </c>
      <c r="E64" s="14" t="n">
        <v>14660</v>
      </c>
      <c r="F64" s="14" t="n">
        <v>14660</v>
      </c>
      <c r="G64" s="14" t="n">
        <v>14660</v>
      </c>
      <c r="H64" s="14" t="n">
        <v>14660</v>
      </c>
      <c r="I64" s="10">
        <f>SUM(C64:H64)</f>
        <v/>
      </c>
    </row>
    <row r="65" ht="13" customHeight="1">
      <c r="A65" s="8" t="inlineStr">
        <is>
          <t>26</t>
        </is>
      </c>
      <c r="B65" s="8" t="inlineStr">
        <is>
          <t xml:space="preserve">  自動車保険（月払い）　三井住友海上</t>
        </is>
      </c>
      <c r="C65" s="9" t="n">
        <v>116730</v>
      </c>
      <c r="D65" s="9" t="n">
        <v>116730</v>
      </c>
      <c r="E65" s="9" t="n">
        <v>116730</v>
      </c>
      <c r="F65" s="9" t="n">
        <v>116730</v>
      </c>
      <c r="G65" s="9" t="n">
        <v>111770</v>
      </c>
      <c r="H65" s="9" t="n">
        <v>111770</v>
      </c>
      <c r="I65" s="10">
        <f>SUM(C65:H65)</f>
        <v/>
      </c>
    </row>
    <row r="66" ht="13" customHeight="1">
      <c r="A66" s="8" t="inlineStr">
        <is>
          <t>5</t>
        </is>
      </c>
      <c r="B66" s="8" t="inlineStr">
        <is>
          <t xml:space="preserve">  安心財団</t>
        </is>
      </c>
      <c r="C66" s="14" t="n">
        <v>4000</v>
      </c>
      <c r="D66" s="14" t="n">
        <v>4000</v>
      </c>
      <c r="E66" s="14" t="n">
        <v>4000</v>
      </c>
      <c r="F66" s="14" t="n">
        <v>4000</v>
      </c>
      <c r="G66" s="14" t="n">
        <v>4000</v>
      </c>
      <c r="H66" s="14" t="n">
        <v>4000</v>
      </c>
      <c r="I66" s="10">
        <f>SUM(C66:H66)</f>
        <v/>
      </c>
    </row>
    <row r="67" ht="13" customHeight="1">
      <c r="A67" s="8" t="inlineStr"/>
      <c r="B67" s="8" t="inlineStr">
        <is>
          <t xml:space="preserve">  本社＆EURO　年払い　10月300.900</t>
        </is>
      </c>
      <c r="C67" s="9" t="n"/>
      <c r="D67" s="9" t="n"/>
      <c r="E67" s="9" t="n"/>
      <c r="F67" s="9" t="n">
        <v>300900</v>
      </c>
      <c r="G67" s="9" t="n"/>
      <c r="H67" s="9" t="n"/>
      <c r="I67" s="10">
        <f>SUM(C67:H67)</f>
        <v/>
      </c>
    </row>
    <row r="68" ht="12" customHeight="1">
      <c r="A68" s="11" t="n"/>
      <c r="B68" s="11" t="n"/>
      <c r="C68" s="12" t="n"/>
      <c r="D68" s="12" t="n"/>
      <c r="E68" s="12" t="n"/>
      <c r="F68" s="12" t="n"/>
      <c r="G68" s="12" t="n"/>
      <c r="H68" s="12" t="n"/>
      <c r="I68" s="13" t="n"/>
    </row>
    <row r="69" ht="14" customHeight="1">
      <c r="A69" s="4" t="n"/>
      <c r="B69" s="5" t="inlineStr">
        <is>
          <t>▶ リース料</t>
        </is>
      </c>
      <c r="C69" s="6">
        <f>SUM(C70:C78)</f>
        <v/>
      </c>
      <c r="D69" s="6">
        <f>SUM(D70:D78)</f>
        <v/>
      </c>
      <c r="E69" s="6">
        <f>SUM(E70:E78)</f>
        <v/>
      </c>
      <c r="F69" s="6">
        <f>SUM(F70:F78)</f>
        <v/>
      </c>
      <c r="G69" s="6">
        <f>SUM(G70:G78)</f>
        <v/>
      </c>
      <c r="H69" s="6">
        <f>SUM(H70:H78)</f>
        <v/>
      </c>
      <c r="I69" s="7">
        <f>SUM(I70:I78)</f>
        <v/>
      </c>
    </row>
    <row r="70" ht="13" customHeight="1">
      <c r="A70" s="8" t="inlineStr"/>
      <c r="B70" s="8" t="inlineStr">
        <is>
          <t xml:space="preserve">  しんきんリーストレーニング器具北方</t>
        </is>
      </c>
      <c r="C70" s="14" t="n">
        <v>248400</v>
      </c>
      <c r="D70" s="14" t="n">
        <v>248400</v>
      </c>
      <c r="E70" s="14" t="n">
        <v>248400</v>
      </c>
      <c r="F70" s="14" t="n">
        <v>248400</v>
      </c>
      <c r="G70" s="14" t="n">
        <v>248400</v>
      </c>
      <c r="H70" s="14" t="n">
        <v>248400</v>
      </c>
      <c r="I70" s="10">
        <f>SUM(C70:H70)</f>
        <v/>
      </c>
    </row>
    <row r="71" ht="13" customHeight="1">
      <c r="A71" s="8" t="inlineStr"/>
      <c r="B71" s="8" t="inlineStr">
        <is>
          <t xml:space="preserve">  しんきんリーストレーニング器具羽島北</t>
        </is>
      </c>
      <c r="C71" s="14" t="n">
        <v>248400</v>
      </c>
      <c r="D71" s="14" t="n">
        <v>248400</v>
      </c>
      <c r="E71" s="14" t="n">
        <v>248400</v>
      </c>
      <c r="F71" s="14" t="n">
        <v>248400</v>
      </c>
      <c r="G71" s="14" t="n">
        <v>248400</v>
      </c>
      <c r="H71" s="14" t="n">
        <v>248400</v>
      </c>
      <c r="I71" s="10">
        <f>SUM(C71:H71)</f>
        <v/>
      </c>
    </row>
    <row r="72" ht="13" customHeight="1">
      <c r="A72" s="8" t="inlineStr">
        <is>
          <t>22</t>
        </is>
      </c>
      <c r="B72" s="8" t="inlineStr">
        <is>
          <t xml:space="preserve">  しんきんリース　ｺﾋﾟｰ機　本社</t>
        </is>
      </c>
      <c r="C72" s="14" t="n">
        <v>25520</v>
      </c>
      <c r="D72" s="14" t="n">
        <v>25520</v>
      </c>
      <c r="E72" s="14" t="n">
        <v>25520</v>
      </c>
      <c r="F72" s="14" t="n">
        <v>25520</v>
      </c>
      <c r="G72" s="14" t="n">
        <v>25520</v>
      </c>
      <c r="H72" s="14" t="n">
        <v>25520</v>
      </c>
      <c r="I72" s="10">
        <f>SUM(C72:H72)</f>
        <v/>
      </c>
    </row>
    <row r="73" ht="13" customHeight="1">
      <c r="A73" s="8" t="inlineStr">
        <is>
          <t>25</t>
        </is>
      </c>
      <c r="B73" s="8" t="inlineStr">
        <is>
          <t xml:space="preserve">  NTT 電話機</t>
        </is>
      </c>
      <c r="C73" s="14" t="n">
        <v>14256</v>
      </c>
      <c r="D73" s="14" t="n">
        <v>14256</v>
      </c>
      <c r="E73" s="14" t="n">
        <v>14256</v>
      </c>
      <c r="F73" s="14" t="n">
        <v>14256</v>
      </c>
      <c r="G73" s="14" t="n">
        <v>14256</v>
      </c>
      <c r="H73" s="14" t="n">
        <v>14256</v>
      </c>
      <c r="I73" s="10">
        <f>SUM(C73:H73)</f>
        <v/>
      </c>
    </row>
    <row r="74" ht="13" customHeight="1">
      <c r="A74" s="8" t="inlineStr"/>
      <c r="B74" s="8" t="inlineStr">
        <is>
          <t xml:space="preserve">  トヨタフアイナンス　（プリウス）</t>
        </is>
      </c>
      <c r="C74" s="14" t="n">
        <v>48300</v>
      </c>
      <c r="D74" s="14" t="n">
        <v>48300</v>
      </c>
      <c r="E74" s="14" t="n">
        <v>48300</v>
      </c>
      <c r="F74" s="14" t="n"/>
      <c r="G74" s="14" t="n"/>
      <c r="H74" s="14" t="n"/>
      <c r="I74" s="10">
        <f>SUM(C74:H74)</f>
        <v/>
      </c>
    </row>
    <row r="75" ht="13" customHeight="1">
      <c r="A75" s="8" t="inlineStr"/>
      <c r="B75" s="8" t="inlineStr">
        <is>
          <t xml:space="preserve">  トヨタフアイナンス　（プリウス）R8.1</t>
        </is>
      </c>
      <c r="C75" s="14" t="n"/>
      <c r="D75" s="14" t="n"/>
      <c r="E75" s="14" t="n"/>
      <c r="F75" s="14" t="n">
        <v>48300</v>
      </c>
      <c r="G75" s="14" t="n">
        <v>48300</v>
      </c>
      <c r="H75" s="14" t="n">
        <v>48300</v>
      </c>
      <c r="I75" s="10">
        <f>SUM(C75:H75)</f>
        <v/>
      </c>
    </row>
    <row r="76" ht="13" customHeight="1">
      <c r="A76" s="8" t="inlineStr"/>
      <c r="B76" s="8" t="inlineStr">
        <is>
          <t xml:space="preserve">  オリコリース　　日産フーガ</t>
        </is>
      </c>
      <c r="C76" s="14" t="n">
        <v>81000</v>
      </c>
      <c r="D76" s="14" t="n">
        <v>81000</v>
      </c>
      <c r="E76" s="14" t="n">
        <v>81000</v>
      </c>
      <c r="F76" s="14" t="n"/>
      <c r="G76" s="14" t="n"/>
      <c r="H76" s="14" t="n"/>
      <c r="I76" s="10">
        <f>SUM(C76:H76)</f>
        <v/>
      </c>
    </row>
    <row r="77" ht="13" customHeight="1">
      <c r="A77" s="8" t="inlineStr"/>
      <c r="B77" s="8" t="inlineStr">
        <is>
          <t xml:space="preserve">  オリコリース　　日産フーガR8.4</t>
        </is>
      </c>
      <c r="C77" s="14" t="n"/>
      <c r="D77" s="14" t="n"/>
      <c r="E77" s="14" t="n"/>
      <c r="F77" s="14" t="n">
        <v>81000</v>
      </c>
      <c r="G77" s="14" t="n">
        <v>81000</v>
      </c>
      <c r="H77" s="14" t="n">
        <v>81000</v>
      </c>
      <c r="I77" s="10">
        <f>SUM(C77:H77)</f>
        <v/>
      </c>
    </row>
    <row r="78" ht="12" customHeight="1">
      <c r="A78" s="11" t="n"/>
      <c r="B78" s="11" t="n"/>
      <c r="C78" s="12" t="n"/>
      <c r="D78" s="12" t="n"/>
      <c r="E78" s="12" t="n"/>
      <c r="F78" s="12" t="n"/>
      <c r="G78" s="12" t="n"/>
      <c r="H78" s="12" t="n"/>
      <c r="I78" s="13" t="n"/>
    </row>
    <row r="79" ht="14" customHeight="1">
      <c r="A79" s="4" t="n"/>
      <c r="B79" s="5" t="inlineStr">
        <is>
          <t>▶ 通信費</t>
        </is>
      </c>
      <c r="C79" s="6">
        <f>SUM(C80:C86)</f>
        <v/>
      </c>
      <c r="D79" s="6">
        <f>SUM(D80:D86)</f>
        <v/>
      </c>
      <c r="E79" s="6">
        <f>SUM(E80:E86)</f>
        <v/>
      </c>
      <c r="F79" s="6">
        <f>SUM(F80:F86)</f>
        <v/>
      </c>
      <c r="G79" s="6">
        <f>SUM(G80:G86)</f>
        <v/>
      </c>
      <c r="H79" s="6">
        <f>SUM(H80:H86)</f>
        <v/>
      </c>
      <c r="I79" s="7">
        <f>SUM(I80:I86)</f>
        <v/>
      </c>
    </row>
    <row r="80" ht="13" customHeight="1">
      <c r="A80" s="8" t="inlineStr"/>
      <c r="B80" s="8" t="inlineStr">
        <is>
          <t xml:space="preserve">  テレマーカー　TM保守</t>
        </is>
      </c>
      <c r="C80" s="14" t="n">
        <v>1100</v>
      </c>
      <c r="D80" s="14" t="n">
        <v>1100</v>
      </c>
      <c r="E80" s="14" t="n">
        <v>1100</v>
      </c>
      <c r="F80" s="14" t="n">
        <v>1100</v>
      </c>
      <c r="G80" s="14" t="n">
        <v>1100</v>
      </c>
      <c r="H80" s="14" t="n">
        <v>1100</v>
      </c>
      <c r="I80" s="10">
        <f>SUM(C80:H80)</f>
        <v/>
      </c>
    </row>
    <row r="81" ht="13" customHeight="1">
      <c r="A81" s="8" t="inlineStr">
        <is>
          <t>27</t>
        </is>
      </c>
      <c r="B81" s="8" t="inlineStr">
        <is>
          <t xml:space="preserve">  ｿﾌﾄﾊﾞﾝｸ</t>
        </is>
      </c>
      <c r="C81" s="9" t="n">
        <v>66135</v>
      </c>
      <c r="D81" s="9" t="n">
        <v>62730</v>
      </c>
      <c r="E81" s="9" t="n">
        <v>65445</v>
      </c>
      <c r="F81" s="9" t="n">
        <v>64418</v>
      </c>
      <c r="G81" s="9" t="n">
        <v>63511</v>
      </c>
      <c r="H81" s="9" t="n">
        <v>63032</v>
      </c>
      <c r="I81" s="10">
        <f>SUM(C81:H81)</f>
        <v/>
      </c>
    </row>
    <row r="82" ht="13" customHeight="1">
      <c r="A82" s="8" t="inlineStr"/>
      <c r="B82" s="8" t="inlineStr">
        <is>
          <t xml:space="preserve">  NTT(本社）</t>
        </is>
      </c>
      <c r="C82" s="9" t="n">
        <v>14672</v>
      </c>
      <c r="D82" s="9" t="n">
        <v>14839</v>
      </c>
      <c r="E82" s="9" t="n">
        <v>14673</v>
      </c>
      <c r="F82" s="9" t="n">
        <v>14532</v>
      </c>
      <c r="G82" s="9" t="n">
        <v>15385</v>
      </c>
      <c r="H82" s="9" t="n">
        <v>15465</v>
      </c>
      <c r="I82" s="10">
        <f>SUM(C82:H82)</f>
        <v/>
      </c>
    </row>
    <row r="83" ht="13" customHeight="1">
      <c r="A83" s="8" t="inlineStr"/>
      <c r="B83" s="8" t="inlineStr">
        <is>
          <t xml:space="preserve">  本社ＩＰ電話</t>
        </is>
      </c>
      <c r="C83" s="14" t="n">
        <v>2500</v>
      </c>
      <c r="D83" s="14" t="n">
        <v>2500</v>
      </c>
      <c r="E83" s="14" t="n">
        <v>2500</v>
      </c>
      <c r="F83" s="14" t="n">
        <v>2500</v>
      </c>
      <c r="G83" s="14" t="n">
        <v>2500</v>
      </c>
      <c r="H83" s="14" t="n">
        <v>2500</v>
      </c>
      <c r="I83" s="10">
        <f>SUM(C83:H83)</f>
        <v/>
      </c>
    </row>
    <row r="84" ht="13" customHeight="1">
      <c r="A84" s="8" t="inlineStr"/>
      <c r="B84" s="8" t="inlineStr">
        <is>
          <t xml:space="preserve">  本社Wi-Fi　ソフトバンク</t>
        </is>
      </c>
      <c r="C84" s="14" t="n">
        <v>5500</v>
      </c>
      <c r="D84" s="14" t="n">
        <v>5500</v>
      </c>
      <c r="E84" s="14" t="n">
        <v>5500</v>
      </c>
      <c r="F84" s="14" t="n">
        <v>5500</v>
      </c>
      <c r="G84" s="14" t="n">
        <v>5500</v>
      </c>
      <c r="H84" s="14" t="n">
        <v>5500</v>
      </c>
      <c r="I84" s="10">
        <f>SUM(C84:H84)</f>
        <v/>
      </c>
    </row>
    <row r="85" ht="13" customHeight="1">
      <c r="A85" s="8" t="inlineStr"/>
      <c r="B85" s="8" t="inlineStr">
        <is>
          <t xml:space="preserve">  ａｕ　社長</t>
        </is>
      </c>
      <c r="C85" s="9" t="n">
        <v>5459</v>
      </c>
      <c r="D85" s="9" t="n">
        <v>7110</v>
      </c>
      <c r="E85" s="9" t="n">
        <v>5724</v>
      </c>
      <c r="F85" s="9" t="n">
        <v>5680</v>
      </c>
      <c r="G85" s="9" t="n">
        <v>5680</v>
      </c>
      <c r="H85" s="9" t="n">
        <v>5680</v>
      </c>
      <c r="I85" s="10">
        <f>SUM(C85:H85)</f>
        <v/>
      </c>
    </row>
    <row r="86" ht="12" customHeight="1">
      <c r="A86" s="11" t="n"/>
      <c r="B86" s="11" t="n"/>
      <c r="C86" s="12" t="n"/>
      <c r="D86" s="12" t="n"/>
      <c r="E86" s="12" t="n"/>
      <c r="F86" s="12" t="n"/>
      <c r="G86" s="12" t="n"/>
      <c r="H86" s="12" t="n"/>
      <c r="I86" s="13" t="n"/>
    </row>
    <row r="87" ht="14" customHeight="1">
      <c r="A87" s="4" t="n"/>
      <c r="B87" s="5" t="inlineStr">
        <is>
          <t>▶ 水道光熱費</t>
        </is>
      </c>
      <c r="C87" s="6">
        <f>SUM(C88:C91)</f>
        <v/>
      </c>
      <c r="D87" s="6">
        <f>SUM(D88:D91)</f>
        <v/>
      </c>
      <c r="E87" s="6">
        <f>SUM(E88:E91)</f>
        <v/>
      </c>
      <c r="F87" s="6">
        <f>SUM(F88:F91)</f>
        <v/>
      </c>
      <c r="G87" s="6">
        <f>SUM(G88:G91)</f>
        <v/>
      </c>
      <c r="H87" s="6">
        <f>SUM(H88:H91)</f>
        <v/>
      </c>
      <c r="I87" s="7">
        <f>SUM(I88:I91)</f>
        <v/>
      </c>
    </row>
    <row r="88" ht="13" customHeight="1">
      <c r="A88" s="8" t="inlineStr"/>
      <c r="B88" s="8" t="inlineStr">
        <is>
          <t xml:space="preserve">  東邦液化ｶﾞｽ 本社</t>
        </is>
      </c>
      <c r="C88" s="14" t="n">
        <v>1500</v>
      </c>
      <c r="D88" s="14" t="n">
        <v>1500</v>
      </c>
      <c r="E88" s="14" t="n">
        <v>1500</v>
      </c>
      <c r="F88" s="14" t="n">
        <v>1500</v>
      </c>
      <c r="G88" s="14" t="n">
        <v>1500</v>
      </c>
      <c r="H88" s="14" t="n">
        <v>1500</v>
      </c>
      <c r="I88" s="10">
        <f>SUM(C88:H88)</f>
        <v/>
      </c>
    </row>
    <row r="89" ht="13" customHeight="1">
      <c r="A89" s="8" t="inlineStr"/>
      <c r="B89" s="8" t="inlineStr">
        <is>
          <t xml:space="preserve">  電気料金（本社）</t>
        </is>
      </c>
      <c r="C89" s="9" t="n">
        <v>59289</v>
      </c>
      <c r="D89" s="9" t="n">
        <v>61579</v>
      </c>
      <c r="E89" s="9" t="n">
        <v>58420</v>
      </c>
      <c r="F89" s="9" t="n">
        <v>44608</v>
      </c>
      <c r="G89" s="9" t="n">
        <v>42408</v>
      </c>
      <c r="H89" s="9" t="n">
        <v>49435</v>
      </c>
      <c r="I89" s="10">
        <f>SUM(C89:H89)</f>
        <v/>
      </c>
    </row>
    <row r="90" ht="13" customHeight="1">
      <c r="A90" s="8" t="inlineStr">
        <is>
          <t>31</t>
        </is>
      </c>
      <c r="B90" s="8" t="inlineStr">
        <is>
          <t xml:space="preserve">  水道料(本社）偶数月</t>
        </is>
      </c>
      <c r="C90" s="14" t="n">
        <v>1892</v>
      </c>
      <c r="D90" s="14" t="n"/>
      <c r="E90" s="14" t="n"/>
      <c r="F90" s="14" t="n">
        <v>1892</v>
      </c>
      <c r="G90" s="14" t="n"/>
      <c r="H90" s="14" t="n"/>
      <c r="I90" s="10">
        <f>SUM(C90:H90)</f>
        <v/>
      </c>
    </row>
    <row r="91" ht="1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3" t="n"/>
    </row>
    <row r="92" ht="14" customHeight="1">
      <c r="A92" s="4" t="n"/>
      <c r="B92" s="5" t="inlineStr">
        <is>
          <t>▶ 月末支払い</t>
        </is>
      </c>
      <c r="C92" s="6">
        <f>SUM(C93:C103)</f>
        <v/>
      </c>
      <c r="D92" s="6">
        <f>SUM(D93:D103)</f>
        <v/>
      </c>
      <c r="E92" s="6">
        <f>SUM(E93:E103)</f>
        <v/>
      </c>
      <c r="F92" s="6">
        <f>SUM(F93:F103)</f>
        <v/>
      </c>
      <c r="G92" s="6">
        <f>SUM(G93:G103)</f>
        <v/>
      </c>
      <c r="H92" s="6">
        <f>SUM(H93:H103)</f>
        <v/>
      </c>
      <c r="I92" s="7">
        <f>SUM(I93:I103)</f>
        <v/>
      </c>
    </row>
    <row r="93" ht="13" customHeight="1">
      <c r="A93" s="8" t="inlineStr">
        <is>
          <t>31</t>
        </is>
      </c>
      <c r="B93" s="8" t="inlineStr">
        <is>
          <t xml:space="preserve">  桑名セブン駐車場地代（1件）</t>
        </is>
      </c>
      <c r="C93" s="14" t="n">
        <v>215250</v>
      </c>
      <c r="D93" s="14" t="n">
        <v>215250</v>
      </c>
      <c r="E93" s="14" t="n">
        <v>215250</v>
      </c>
      <c r="F93" s="14" t="n">
        <v>215250</v>
      </c>
      <c r="G93" s="14" t="n">
        <v>215250</v>
      </c>
      <c r="H93" s="14" t="n">
        <v>215250</v>
      </c>
      <c r="I93" s="10">
        <f>SUM(C93:H93)</f>
        <v/>
      </c>
    </row>
    <row r="94" ht="13" customHeight="1">
      <c r="A94" s="8" t="inlineStr">
        <is>
          <t>31</t>
        </is>
      </c>
      <c r="B94" s="8" t="inlineStr">
        <is>
          <t xml:space="preserve">  羽島　駐車場地代（13件）</t>
        </is>
      </c>
      <c r="C94" s="14" t="n">
        <v>1681487</v>
      </c>
      <c r="D94" s="14" t="n">
        <v>1681487</v>
      </c>
      <c r="E94" s="14" t="n">
        <v>1681487</v>
      </c>
      <c r="F94" s="14" t="n">
        <v>1681487</v>
      </c>
      <c r="G94" s="14" t="n">
        <v>1681487</v>
      </c>
      <c r="H94" s="14" t="n">
        <v>1681487</v>
      </c>
      <c r="I94" s="10">
        <f>SUM(C94:H94)</f>
        <v/>
      </c>
    </row>
    <row r="95" ht="13" customHeight="1">
      <c r="A95" s="8" t="inlineStr"/>
      <c r="B95" s="8" t="inlineStr">
        <is>
          <t xml:space="preserve">  振込手数料</t>
        </is>
      </c>
      <c r="C95" s="14" t="n">
        <v>9240</v>
      </c>
      <c r="D95" s="14" t="n">
        <v>9240</v>
      </c>
      <c r="E95" s="14" t="n">
        <v>9240</v>
      </c>
      <c r="F95" s="14" t="n">
        <v>9240</v>
      </c>
      <c r="G95" s="14" t="n">
        <v>9240</v>
      </c>
      <c r="H95" s="14" t="n">
        <v>9240</v>
      </c>
      <c r="I95" s="10">
        <f>SUM(C95:H95)</f>
        <v/>
      </c>
    </row>
    <row r="96" ht="13" customHeight="1">
      <c r="A96" s="8" t="inlineStr"/>
      <c r="B96" s="8" t="inlineStr">
        <is>
          <t xml:space="preserve">  固定資産(840000円）年12回</t>
        </is>
      </c>
      <c r="C96" s="14" t="n">
        <v>840000</v>
      </c>
      <c r="D96" s="14" t="n">
        <v>840000</v>
      </c>
      <c r="E96" s="14" t="n">
        <v>840000</v>
      </c>
      <c r="F96" s="14" t="n">
        <v>840000</v>
      </c>
      <c r="G96" s="14" t="n">
        <v>840000</v>
      </c>
      <c r="H96" s="14" t="n">
        <v>840000</v>
      </c>
      <c r="I96" s="10">
        <f>SUM(C96:H96)</f>
        <v/>
      </c>
    </row>
    <row r="97" ht="13" customHeight="1">
      <c r="A97" s="8" t="inlineStr">
        <is>
          <t>28</t>
        </is>
      </c>
      <c r="B97" s="8" t="inlineStr">
        <is>
          <t xml:space="preserve">  月末振込</t>
        </is>
      </c>
      <c r="C97" s="9" t="n">
        <v>168215</v>
      </c>
      <c r="D97" s="9" t="n">
        <v>200611</v>
      </c>
      <c r="E97" s="9" t="n">
        <v>235995</v>
      </c>
      <c r="F97" s="9" t="n">
        <v>190558</v>
      </c>
      <c r="G97" s="9" t="n">
        <v>417602</v>
      </c>
      <c r="H97" s="9" t="n">
        <v>400164</v>
      </c>
      <c r="I97" s="10">
        <f>SUM(C97:H97)</f>
        <v/>
      </c>
    </row>
    <row r="98" ht="13" customHeight="1">
      <c r="A98" s="8" t="inlineStr">
        <is>
          <t>15</t>
        </is>
      </c>
      <c r="B98" s="8" t="inlineStr">
        <is>
          <t xml:space="preserve">  予定納税（1回〜3回）</t>
        </is>
      </c>
      <c r="C98" s="9" t="n"/>
      <c r="D98" s="9" t="n"/>
      <c r="E98" s="9" t="n">
        <v>2200000</v>
      </c>
      <c r="F98" s="9" t="n">
        <v>2200000</v>
      </c>
      <c r="G98" s="9" t="n">
        <v>2200000</v>
      </c>
      <c r="H98" s="9" t="n">
        <v>4564100</v>
      </c>
      <c r="I98" s="10">
        <f>SUM(C98:H98)</f>
        <v/>
      </c>
    </row>
    <row r="99" ht="13" customHeight="1">
      <c r="A99" s="8" t="inlineStr"/>
      <c r="B99" s="8" t="inlineStr">
        <is>
          <t xml:space="preserve">  消費税　納税資金</t>
        </is>
      </c>
      <c r="C99" s="9" t="n">
        <v>1000000</v>
      </c>
      <c r="D99" s="9" t="n"/>
      <c r="E99" s="9" t="n"/>
      <c r="F99" s="9" t="n"/>
      <c r="G99" s="9" t="n"/>
      <c r="H99" s="9" t="n"/>
      <c r="I99" s="10">
        <f>SUM(C99:H99)</f>
        <v/>
      </c>
    </row>
    <row r="100" ht="13" customHeight="1">
      <c r="A100" s="8" t="inlineStr"/>
      <c r="B100" s="8" t="inlineStr">
        <is>
          <t xml:space="preserve">  納税</t>
        </is>
      </c>
      <c r="C100" s="9" t="n"/>
      <c r="D100" s="9" t="n">
        <v>185000</v>
      </c>
      <c r="E100" s="9" t="n"/>
      <c r="F100" s="9" t="n"/>
      <c r="G100" s="9" t="n"/>
      <c r="H100" s="9" t="n"/>
      <c r="I100" s="10">
        <f>SUM(C100:H100)</f>
        <v/>
      </c>
    </row>
    <row r="101" ht="13" customHeight="1">
      <c r="A101" s="8" t="inlineStr"/>
      <c r="B101" s="8" t="inlineStr">
        <is>
          <t xml:space="preserve">  狐穴固定資産（年1回4月）</t>
        </is>
      </c>
      <c r="C101" s="9" t="n"/>
      <c r="D101" s="9" t="n"/>
      <c r="E101" s="9" t="n"/>
      <c r="F101" s="9" t="n"/>
      <c r="G101" s="9" t="n"/>
      <c r="H101" s="9" t="n"/>
      <c r="I101" s="10">
        <f>SUM(C101:H101)</f>
        <v/>
      </c>
    </row>
    <row r="102" ht="13" customHeight="1">
      <c r="A102" s="8" t="inlineStr"/>
      <c r="B102" s="8" t="inlineStr">
        <is>
          <t xml:space="preserve">  桑名太陽光（年1回4月）</t>
        </is>
      </c>
      <c r="C102" s="9" t="n"/>
      <c r="D102" s="9" t="n"/>
      <c r="E102" s="9" t="n"/>
      <c r="F102" s="9" t="n"/>
      <c r="G102" s="9" t="n"/>
      <c r="H102" s="9" t="n"/>
      <c r="I102" s="10">
        <f>SUM(C102:H102)</f>
        <v/>
      </c>
    </row>
    <row r="103" ht="1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3" t="n"/>
    </row>
    <row r="104" ht="14" customHeight="1">
      <c r="A104" s="4" t="n"/>
      <c r="B104" s="5" t="inlineStr">
        <is>
          <t>▶ 年払い</t>
        </is>
      </c>
      <c r="C104" s="6">
        <f>SUM(C105:C111)</f>
        <v/>
      </c>
      <c r="D104" s="6">
        <f>SUM(D105:D111)</f>
        <v/>
      </c>
      <c r="E104" s="6">
        <f>SUM(E105:E111)</f>
        <v/>
      </c>
      <c r="F104" s="6">
        <f>SUM(F105:F111)</f>
        <v/>
      </c>
      <c r="G104" s="6">
        <f>SUM(G105:G111)</f>
        <v/>
      </c>
      <c r="H104" s="6">
        <f>SUM(H105:H111)</f>
        <v/>
      </c>
      <c r="I104" s="7">
        <f>SUM(I105:I111)</f>
        <v/>
      </c>
    </row>
    <row r="105" ht="13" customHeight="1">
      <c r="A105" s="8" t="inlineStr"/>
      <c r="B105" s="8" t="inlineStr">
        <is>
          <t xml:space="preserve">  山田勝一　羽島L看板8万　毎年7月</t>
        </is>
      </c>
      <c r="C105" s="9" t="n">
        <v>80000</v>
      </c>
      <c r="D105" s="9" t="n"/>
      <c r="E105" s="9" t="n"/>
      <c r="F105" s="9" t="n"/>
      <c r="G105" s="9" t="n"/>
      <c r="H105" s="9" t="n"/>
      <c r="I105" s="10">
        <f>SUM(C105:H105)</f>
        <v/>
      </c>
    </row>
    <row r="106" ht="13" customHeight="1">
      <c r="A106" s="8" t="inlineStr"/>
      <c r="B106" s="8" t="inlineStr">
        <is>
          <t xml:space="preserve">  アプロワン　屋根13万2千　毎年12月</t>
        </is>
      </c>
      <c r="C106" s="9" t="n"/>
      <c r="D106" s="9" t="n"/>
      <c r="E106" s="9" t="n"/>
      <c r="F106" s="9" t="n"/>
      <c r="G106" s="9" t="n"/>
      <c r="H106" s="9" t="n">
        <v>132000</v>
      </c>
      <c r="I106" s="10">
        <f>SUM(C106:H106)</f>
        <v/>
      </c>
    </row>
    <row r="107" ht="13" customHeight="1">
      <c r="A107" s="8" t="inlineStr"/>
      <c r="B107" s="8" t="inlineStr">
        <is>
          <t xml:space="preserve">  ぎしん　羽島会　24,000　　毎年2月</t>
        </is>
      </c>
      <c r="C107" s="9" t="n"/>
      <c r="D107" s="9" t="n"/>
      <c r="E107" s="9" t="n"/>
      <c r="F107" s="9" t="n"/>
      <c r="G107" s="9" t="n"/>
      <c r="H107" s="9" t="n"/>
      <c r="I107" s="10">
        <f>SUM(C107:H107)</f>
        <v/>
      </c>
    </row>
    <row r="108" ht="13" customHeight="1">
      <c r="A108" s="8" t="inlineStr"/>
      <c r="B108" s="8" t="inlineStr">
        <is>
          <t xml:space="preserve">  AJへ　自販機設置料12万　毎年5月</t>
        </is>
      </c>
      <c r="C108" s="9" t="n"/>
      <c r="D108" s="9" t="n"/>
      <c r="E108" s="9" t="n"/>
      <c r="F108" s="9" t="n"/>
      <c r="G108" s="9" t="n"/>
      <c r="H108" s="9" t="n"/>
      <c r="I108" s="10">
        <f>SUM(C108:H108)</f>
        <v/>
      </c>
    </row>
    <row r="109" ht="13" customHeight="1">
      <c r="A109" s="8" t="inlineStr"/>
      <c r="B109" s="8" t="inlineStr">
        <is>
          <t xml:space="preserve">  本社浄化槽　61,070　　　　　毎年5月</t>
        </is>
      </c>
      <c r="C109" s="9" t="n"/>
      <c r="D109" s="9" t="n"/>
      <c r="E109" s="9" t="n"/>
      <c r="F109" s="9" t="n"/>
      <c r="G109" s="9" t="n"/>
      <c r="H109" s="9" t="n"/>
      <c r="I109" s="10">
        <f>SUM(C109:H109)</f>
        <v/>
      </c>
    </row>
    <row r="110" ht="13" customHeight="1">
      <c r="A110" s="8" t="inlineStr"/>
      <c r="B110" s="8" t="inlineStr">
        <is>
          <t xml:space="preserve">  USEN　年会費　59,400　　　毎年10月</t>
        </is>
      </c>
      <c r="C110" s="9" t="n"/>
      <c r="D110" s="9" t="n"/>
      <c r="E110" s="9" t="n"/>
      <c r="F110" s="9" t="n"/>
      <c r="G110" s="9" t="n"/>
      <c r="H110" s="9" t="n"/>
      <c r="I110" s="10">
        <f>SUM(C110:H110)</f>
        <v/>
      </c>
    </row>
    <row r="111" ht="1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3" t="n"/>
    </row>
    <row r="112" ht="14" customHeight="1">
      <c r="A112" s="4" t="n"/>
      <c r="B112" s="5" t="inlineStr">
        <is>
          <t>▶ 貸付・返済</t>
        </is>
      </c>
      <c r="C112" s="6">
        <f>SUM(C113:C114)</f>
        <v/>
      </c>
      <c r="D112" s="6">
        <f>SUM(D113:D114)</f>
        <v/>
      </c>
      <c r="E112" s="6">
        <f>SUM(E113:E114)</f>
        <v/>
      </c>
      <c r="F112" s="6">
        <f>SUM(F113:F114)</f>
        <v/>
      </c>
      <c r="G112" s="6">
        <f>SUM(G113:G114)</f>
        <v/>
      </c>
      <c r="H112" s="6">
        <f>SUM(H113:H114)</f>
        <v/>
      </c>
      <c r="I112" s="7">
        <f>SUM(I113:I114)</f>
        <v/>
      </c>
    </row>
    <row r="113" ht="13" customHeight="1">
      <c r="A113" s="8" t="inlineStr"/>
      <c r="B113" s="8" t="inlineStr">
        <is>
          <t xml:space="preserve">  AMUSE　JAPAN</t>
        </is>
      </c>
      <c r="C113" s="9" t="n"/>
      <c r="D113" s="9" t="n"/>
      <c r="E113" s="9" t="n"/>
      <c r="F113" s="9" t="n"/>
      <c r="G113" s="9" t="n"/>
      <c r="H113" s="9" t="n"/>
      <c r="I113" s="10">
        <f>SUM(C113:H113)</f>
        <v/>
      </c>
    </row>
    <row r="114" ht="12" customHeight="1">
      <c r="A114" s="11" t="n"/>
      <c r="B114" s="11" t="n"/>
      <c r="C114" s="12" t="n"/>
      <c r="D114" s="12" t="n"/>
      <c r="E114" s="12" t="n"/>
      <c r="F114" s="12" t="n"/>
      <c r="G114" s="12" t="n"/>
      <c r="H114" s="12" t="n"/>
      <c r="I114" s="13" t="n"/>
    </row>
    <row r="115" ht="15" customHeight="1">
      <c r="A115" s="15" t="n"/>
      <c r="B115" s="16" t="inlineStr">
        <is>
          <t>① 支出合計</t>
        </is>
      </c>
      <c r="C115" s="17">
        <f>C4+C14+C41+C45+C51+C62+C69+C79+C87+C92+C104+C112</f>
        <v/>
      </c>
      <c r="D115" s="17">
        <f>D4+D14+D41+D45+D51+D62+D69+D79+D87+D92+D104+D112</f>
        <v/>
      </c>
      <c r="E115" s="17">
        <f>E4+E14+E41+E45+E51+E62+E69+E79+E87+E92+E104+E112</f>
        <v/>
      </c>
      <c r="F115" s="17">
        <f>F4+F14+F41+F45+F51+F62+F69+F79+F87+F92+F104+F112</f>
        <v/>
      </c>
      <c r="G115" s="17">
        <f>G4+G14+G41+G45+G51+G62+G69+G79+G87+G92+G104+G112</f>
        <v/>
      </c>
      <c r="H115" s="17">
        <f>H4+H14+H41+H45+H51+H62+H69+H79+H87+H92+H104+H112</f>
        <v/>
      </c>
      <c r="I115" s="7">
        <f>I4+I14+I41+I45+I51+I62+I69+I79+I87+I92+I104+I112</f>
        <v/>
      </c>
    </row>
    <row r="117" ht="16" customHeight="1">
      <c r="A117" s="18" t="inlineStr">
        <is>
          <t>【 ② 収　入（売上・粗利・雑収入など） 】</t>
        </is>
      </c>
    </row>
    <row r="118" ht="14" customHeight="1">
      <c r="A118" s="19" t="n"/>
      <c r="B118" s="20" t="inlineStr">
        <is>
          <t>▶ 収入・支出項目</t>
        </is>
      </c>
      <c r="C118" s="21">
        <f>SUM(C119:C137)</f>
        <v/>
      </c>
      <c r="D118" s="21">
        <f>SUM(D119:D137)</f>
        <v/>
      </c>
      <c r="E118" s="21">
        <f>SUM(E119:E137)</f>
        <v/>
      </c>
      <c r="F118" s="21">
        <f>SUM(F119:F137)</f>
        <v/>
      </c>
      <c r="G118" s="21">
        <f>SUM(G119:G137)</f>
        <v/>
      </c>
      <c r="H118" s="21">
        <f>SUM(H119:H137)</f>
        <v/>
      </c>
      <c r="I118" s="7">
        <f>SUM(I119:I137)</f>
        <v/>
      </c>
    </row>
    <row r="119" ht="13" customHeight="1">
      <c r="A119" s="22" t="inlineStr">
        <is>
          <t>10</t>
        </is>
      </c>
      <c r="B119" s="22" t="inlineStr">
        <is>
          <t xml:space="preserve">  EK　未収家賃</t>
        </is>
      </c>
      <c r="C119" s="24" t="n">
        <v>313253</v>
      </c>
      <c r="D119" s="24" t="n">
        <v>313253</v>
      </c>
      <c r="E119" s="24" t="n">
        <v>313253</v>
      </c>
      <c r="F119" s="24" t="n">
        <v>313253</v>
      </c>
      <c r="G119" s="24" t="n">
        <v>313253</v>
      </c>
      <c r="H119" s="24" t="n">
        <v>313253</v>
      </c>
      <c r="I119" s="10">
        <f>SUM(C119:H119)</f>
        <v/>
      </c>
    </row>
    <row r="120" ht="13" customHeight="1">
      <c r="A120" s="22" t="inlineStr">
        <is>
          <t>10</t>
        </is>
      </c>
      <c r="B120" s="22" t="inlineStr">
        <is>
          <t xml:space="preserve">  事務委託費</t>
        </is>
      </c>
      <c r="C120" s="24" t="n">
        <v>110000</v>
      </c>
      <c r="D120" s="24" t="n">
        <v>110000</v>
      </c>
      <c r="E120" s="24" t="n">
        <v>110000</v>
      </c>
      <c r="F120" s="24" t="n">
        <v>110000</v>
      </c>
      <c r="G120" s="24" t="n">
        <v>110000</v>
      </c>
      <c r="H120" s="24" t="n">
        <v>110000</v>
      </c>
      <c r="I120" s="10">
        <f>SUM(C120:H120)</f>
        <v/>
      </c>
    </row>
    <row r="121" ht="13" customHeight="1">
      <c r="A121" s="22" t="inlineStr">
        <is>
          <t>31</t>
        </is>
      </c>
      <c r="B121" s="22" t="inlineStr">
        <is>
          <t xml:space="preserve">  桑名セブンイレブン</t>
        </is>
      </c>
      <c r="C121" s="24" t="n">
        <v>313550</v>
      </c>
      <c r="D121" s="24" t="n">
        <v>313550</v>
      </c>
      <c r="E121" s="24" t="n">
        <v>313550</v>
      </c>
      <c r="F121" s="24" t="n">
        <v>313550</v>
      </c>
      <c r="G121" s="24" t="n">
        <v>313550</v>
      </c>
      <c r="H121" s="24" t="n">
        <v>313550</v>
      </c>
      <c r="I121" s="10">
        <f>SUM(C121:H121)</f>
        <v/>
      </c>
    </row>
    <row r="122" ht="13" customHeight="1">
      <c r="A122" s="22" t="inlineStr">
        <is>
          <t>25</t>
        </is>
      </c>
      <c r="B122" s="22" t="inlineStr">
        <is>
          <t xml:space="preserve">  チェリオ販売手数料</t>
        </is>
      </c>
      <c r="C122" s="23" t="n">
        <v>250608</v>
      </c>
      <c r="D122" s="23" t="n">
        <v>250986</v>
      </c>
      <c r="E122" s="23" t="n">
        <v>314361</v>
      </c>
      <c r="F122" s="23" t="n">
        <v>255022</v>
      </c>
      <c r="G122" s="23" t="n">
        <v>236132</v>
      </c>
      <c r="H122" s="23" t="n">
        <v>231411</v>
      </c>
      <c r="I122" s="10">
        <f>SUM(C122:H122)</f>
        <v/>
      </c>
    </row>
    <row r="123" ht="13" customHeight="1">
      <c r="A123" s="22" t="inlineStr">
        <is>
          <t>20</t>
        </is>
      </c>
      <c r="B123" s="22" t="inlineStr">
        <is>
          <t xml:space="preserve">  中部第一郵送　（解体）</t>
        </is>
      </c>
      <c r="C123" s="23" t="n">
        <v>65175</v>
      </c>
      <c r="D123" s="23" t="n">
        <v>78375</v>
      </c>
      <c r="E123" s="23" t="n">
        <v>73700</v>
      </c>
      <c r="F123" s="23" t="n">
        <v>37125</v>
      </c>
      <c r="G123" s="23" t="n">
        <v>72050</v>
      </c>
      <c r="H123" s="23" t="n">
        <v>69850</v>
      </c>
      <c r="I123" s="10">
        <f>SUM(C123:H123)</f>
        <v/>
      </c>
    </row>
    <row r="124" ht="13" customHeight="1">
      <c r="A124" s="22" t="inlineStr"/>
      <c r="B124" s="22" t="inlineStr">
        <is>
          <t xml:space="preserve">  トウカイサ－モ（内職）</t>
        </is>
      </c>
      <c r="C124" s="23" t="n">
        <v>118580</v>
      </c>
      <c r="D124" s="23" t="n">
        <v>87252</v>
      </c>
      <c r="E124" s="23" t="n">
        <v>130798</v>
      </c>
      <c r="F124" s="23" t="n">
        <v>119628</v>
      </c>
      <c r="G124" s="23" t="n">
        <v>36148</v>
      </c>
      <c r="H124" s="23" t="n">
        <v>97523</v>
      </c>
      <c r="I124" s="10">
        <f>SUM(C124:H124)</f>
        <v/>
      </c>
    </row>
    <row r="125" ht="13" customHeight="1">
      <c r="A125" s="22" t="inlineStr"/>
      <c r="B125" s="22" t="inlineStr">
        <is>
          <t xml:space="preserve">  エヌエスアール（内職）</t>
        </is>
      </c>
      <c r="C125" s="23" t="n">
        <v>56448</v>
      </c>
      <c r="D125" s="23" t="n">
        <v>59535</v>
      </c>
      <c r="E125" s="23" t="n">
        <v>49833</v>
      </c>
      <c r="F125" s="23" t="n">
        <v>51156</v>
      </c>
      <c r="G125" s="23" t="n">
        <v>60417</v>
      </c>
      <c r="H125" s="23" t="n">
        <v>53361</v>
      </c>
      <c r="I125" s="10">
        <f>SUM(C125:H125)</f>
        <v/>
      </c>
    </row>
    <row r="126" ht="13" customHeight="1">
      <c r="A126" s="22" t="inlineStr"/>
      <c r="B126" s="22" t="inlineStr">
        <is>
          <t xml:space="preserve">  ウェルピア車</t>
        </is>
      </c>
      <c r="C126" s="24" t="n">
        <v>220000</v>
      </c>
      <c r="D126" s="24" t="n">
        <v>220000</v>
      </c>
      <c r="E126" s="24" t="n">
        <v>220000</v>
      </c>
      <c r="F126" s="24" t="n">
        <v>220000</v>
      </c>
      <c r="G126" s="24" t="n">
        <v>220000</v>
      </c>
      <c r="H126" s="24" t="n">
        <v>220000</v>
      </c>
      <c r="I126" s="10">
        <f>SUM(C126:H126)</f>
        <v/>
      </c>
    </row>
    <row r="127" ht="13" customHeight="1">
      <c r="A127" s="22" t="inlineStr"/>
      <c r="B127" s="22" t="inlineStr">
        <is>
          <t xml:space="preserve">  ウェルピア出向.事務費 等</t>
        </is>
      </c>
      <c r="C127" s="23" t="n">
        <v>193323</v>
      </c>
      <c r="D127" s="23" t="n"/>
      <c r="E127" s="23" t="n">
        <v>184554</v>
      </c>
      <c r="F127" s="23" t="n">
        <v>232835</v>
      </c>
      <c r="G127" s="23" t="n">
        <v>408247</v>
      </c>
      <c r="H127" s="23" t="n">
        <v>385658</v>
      </c>
      <c r="I127" s="10">
        <f>SUM(C127:H127)</f>
        <v/>
      </c>
    </row>
    <row r="128" ht="13" customHeight="1">
      <c r="A128" s="22" t="inlineStr"/>
      <c r="B128" s="22" t="inlineStr">
        <is>
          <t xml:space="preserve">  不動産　預かり消費税　固定資産税</t>
        </is>
      </c>
      <c r="C128" s="24" t="n">
        <v>1730000</v>
      </c>
      <c r="D128" s="24" t="n">
        <v>1730000</v>
      </c>
      <c r="E128" s="24" t="n">
        <v>1730000</v>
      </c>
      <c r="F128" s="24" t="n">
        <v>1730000</v>
      </c>
      <c r="G128" s="24" t="n">
        <v>1730000</v>
      </c>
      <c r="H128" s="24" t="n">
        <v>1730000</v>
      </c>
      <c r="I128" s="10">
        <f>SUM(C128:H128)</f>
        <v/>
      </c>
    </row>
    <row r="129" ht="13" customHeight="1">
      <c r="A129" s="22" t="inlineStr"/>
      <c r="B129" s="22" t="inlineStr">
        <is>
          <t xml:space="preserve">  太陽光　売電収入（福寿～大日）</t>
        </is>
      </c>
      <c r="C129" s="23" t="n">
        <v>530877</v>
      </c>
      <c r="D129" s="23" t="n">
        <v>545186</v>
      </c>
      <c r="E129" s="23" t="n">
        <v>486316</v>
      </c>
      <c r="F129" s="23" t="n">
        <v>374299</v>
      </c>
      <c r="G129" s="23" t="n">
        <v>237017</v>
      </c>
      <c r="H129" s="23" t="n">
        <v>236172</v>
      </c>
      <c r="I129" s="10">
        <f>SUM(C129:H129)</f>
        <v/>
      </c>
    </row>
    <row r="130" ht="13" customHeight="1">
      <c r="A130" s="22" t="inlineStr"/>
      <c r="B130" s="22" t="inlineStr">
        <is>
          <t xml:space="preserve">  太陽光　売電収入　（桑名店）</t>
        </is>
      </c>
      <c r="C130" s="23" t="n">
        <v>298058</v>
      </c>
      <c r="D130" s="23" t="n">
        <v>347685</v>
      </c>
      <c r="E130" s="23" t="n">
        <v>262205</v>
      </c>
      <c r="F130" s="23" t="n">
        <v>200670</v>
      </c>
      <c r="G130" s="23" t="n">
        <v>184184</v>
      </c>
      <c r="H130" s="23" t="n">
        <v>191812</v>
      </c>
      <c r="I130" s="10">
        <f>SUM(C130:H130)</f>
        <v/>
      </c>
    </row>
    <row r="131" ht="13" customHeight="1">
      <c r="A131" s="22" t="inlineStr">
        <is>
          <t>10</t>
        </is>
      </c>
      <c r="B131" s="22" t="inlineStr">
        <is>
          <t xml:space="preserve">  羽島地代家賃</t>
        </is>
      </c>
      <c r="C131" s="23" t="n"/>
      <c r="D131" s="23" t="n">
        <v>2000000</v>
      </c>
      <c r="E131" s="23" t="n"/>
      <c r="F131" s="23" t="n">
        <v>5000000</v>
      </c>
      <c r="G131" s="23" t="n">
        <v>5000000</v>
      </c>
      <c r="H131" s="23" t="n">
        <v>5000000</v>
      </c>
      <c r="I131" s="10">
        <f>SUM(C131:H131)</f>
        <v/>
      </c>
    </row>
    <row r="132" ht="13" customHeight="1">
      <c r="A132" s="22" t="inlineStr"/>
      <c r="B132" s="22" t="inlineStr">
        <is>
          <t xml:space="preserve">  グループ立替</t>
        </is>
      </c>
      <c r="C132" s="23" t="n">
        <v>16676</v>
      </c>
      <c r="D132" s="23" t="n"/>
      <c r="E132" s="23" t="n"/>
      <c r="F132" s="23" t="n"/>
      <c r="G132" s="23" t="n">
        <v>118140</v>
      </c>
      <c r="H132" s="23" t="n"/>
      <c r="I132" s="10">
        <f>SUM(C132:H132)</f>
        <v/>
      </c>
    </row>
    <row r="133" ht="13" customHeight="1">
      <c r="A133" s="22" t="inlineStr"/>
      <c r="B133" s="22" t="inlineStr">
        <is>
          <t xml:space="preserve">  GTより返済</t>
        </is>
      </c>
      <c r="C133" s="23" t="n">
        <v>1263650</v>
      </c>
      <c r="D133" s="23" t="n"/>
      <c r="E133" s="23" t="n"/>
      <c r="F133" s="23" t="n"/>
      <c r="G133" s="23" t="n"/>
      <c r="H133" s="23" t="n"/>
      <c r="I133" s="10">
        <f>SUM(C133:H133)</f>
        <v/>
      </c>
    </row>
    <row r="134" ht="13" customHeight="1">
      <c r="A134" s="22" t="inlineStr"/>
      <c r="B134" s="22" t="inlineStr">
        <is>
          <t xml:space="preserve">  保証金返金</t>
        </is>
      </c>
      <c r="C134" s="23" t="n">
        <v>287280</v>
      </c>
      <c r="D134" s="23" t="n"/>
      <c r="E134" s="23" t="n"/>
      <c r="F134" s="23" t="n"/>
      <c r="G134" s="23" t="n"/>
      <c r="H134" s="23" t="n"/>
      <c r="I134" s="10">
        <f>SUM(C134:H134)</f>
        <v/>
      </c>
    </row>
    <row r="135" ht="13" customHeight="1">
      <c r="A135" s="22" t="inlineStr"/>
      <c r="B135" s="22" t="inlineStr">
        <is>
          <t xml:space="preserve">  パウダー出向費</t>
        </is>
      </c>
      <c r="C135" s="23" t="n"/>
      <c r="D135" s="23" t="n"/>
      <c r="E135" s="23" t="n">
        <v>804821</v>
      </c>
      <c r="F135" s="23" t="n"/>
      <c r="G135" s="23" t="n"/>
      <c r="H135" s="23" t="n"/>
      <c r="I135" s="10">
        <f>SUM(C135:H135)</f>
        <v/>
      </c>
    </row>
    <row r="136" ht="13" customHeight="1">
      <c r="A136" s="22" t="inlineStr"/>
      <c r="B136" s="22" t="inlineStr">
        <is>
          <t xml:space="preserve">  WSB（自然応用科学）　山県</t>
        </is>
      </c>
      <c r="C136" s="23" t="n"/>
      <c r="D136" s="23" t="n"/>
      <c r="E136" s="23" t="n"/>
      <c r="F136" s="23" t="n">
        <v>12335</v>
      </c>
      <c r="G136" s="23" t="n"/>
      <c r="H136" s="23" t="n"/>
      <c r="I136" s="10">
        <f>SUM(C136:H136)</f>
        <v/>
      </c>
    </row>
    <row r="137" ht="12" customHeight="1">
      <c r="A137" s="25" t="n"/>
      <c r="B137" s="25" t="n"/>
      <c r="C137" s="26" t="n"/>
      <c r="D137" s="26" t="n"/>
      <c r="E137" s="26" t="n"/>
      <c r="F137" s="26" t="n"/>
      <c r="G137" s="26" t="n"/>
      <c r="H137" s="26" t="n"/>
      <c r="I137" s="13" t="n"/>
    </row>
    <row r="138" ht="15" customHeight="1">
      <c r="A138" s="27" t="n"/>
      <c r="B138" s="28" t="inlineStr">
        <is>
          <t>② 収入合計</t>
        </is>
      </c>
      <c r="C138" s="29">
        <f>C118</f>
        <v/>
      </c>
      <c r="D138" s="29">
        <f>D118</f>
        <v/>
      </c>
      <c r="E138" s="29">
        <f>E118</f>
        <v/>
      </c>
      <c r="F138" s="29">
        <f>F118</f>
        <v/>
      </c>
      <c r="G138" s="29">
        <f>G118</f>
        <v/>
      </c>
      <c r="H138" s="29">
        <f>H118</f>
        <v/>
      </c>
      <c r="I138" s="7">
        <f>I118</f>
        <v/>
      </c>
    </row>
    <row r="140" ht="22" customHeight="1">
      <c r="A140" s="30" t="n"/>
      <c r="B140" s="31" t="inlineStr">
        <is>
          <t>① 経　費</t>
        </is>
      </c>
      <c r="C140" s="32">
        <f>C115</f>
        <v/>
      </c>
      <c r="D140" s="32">
        <f>D115</f>
        <v/>
      </c>
      <c r="E140" s="32">
        <f>E115</f>
        <v/>
      </c>
      <c r="F140" s="32">
        <f>F115</f>
        <v/>
      </c>
      <c r="G140" s="32">
        <f>G115</f>
        <v/>
      </c>
      <c r="H140" s="32">
        <f>H115</f>
        <v/>
      </c>
      <c r="I140" s="32">
        <f>I115</f>
        <v/>
      </c>
    </row>
    <row r="141" ht="22" customHeight="1">
      <c r="A141" s="33" t="n"/>
      <c r="B141" s="34" t="inlineStr">
        <is>
          <t>② 収　入</t>
        </is>
      </c>
      <c r="C141" s="35">
        <f>C138</f>
        <v/>
      </c>
      <c r="D141" s="35">
        <f>D138</f>
        <v/>
      </c>
      <c r="E141" s="35">
        <f>E138</f>
        <v/>
      </c>
      <c r="F141" s="35">
        <f>F138</f>
        <v/>
      </c>
      <c r="G141" s="35">
        <f>G138</f>
        <v/>
      </c>
      <c r="H141" s="35">
        <f>H138</f>
        <v/>
      </c>
      <c r="I141" s="35">
        <f>I138</f>
        <v/>
      </c>
    </row>
    <row r="142" ht="22" customHeight="1">
      <c r="A142" s="36" t="n"/>
      <c r="B142" s="37" t="inlineStr">
        <is>
          <t>③ 収　支  ②－①</t>
        </is>
      </c>
      <c r="C142" s="38">
        <f>C138-C115</f>
        <v/>
      </c>
      <c r="D142" s="38">
        <f>D138-D115</f>
        <v/>
      </c>
      <c r="E142" s="38">
        <f>E138-E115</f>
        <v/>
      </c>
      <c r="F142" s="38">
        <f>F138-F115</f>
        <v/>
      </c>
      <c r="G142" s="38">
        <f>G138-G115</f>
        <v/>
      </c>
      <c r="H142" s="38">
        <f>H138-H115</f>
        <v/>
      </c>
      <c r="I142" s="38">
        <f>I138-I115</f>
        <v/>
      </c>
    </row>
    <row r="145" ht="20" customHeight="1">
      <c r="A145" s="45" t="inlineStr">
        <is>
          <t>【 大日産業グループ法人合算 　（大日産業（不動産）、Eats、サイクルEV、ボディケア　合算） 】</t>
        </is>
      </c>
      <c r="B145" s="46" t="n"/>
      <c r="C145" s="46" t="n"/>
      <c r="D145" s="46" t="n"/>
      <c r="E145" s="46" t="n"/>
      <c r="F145" s="46" t="n"/>
      <c r="G145" s="46" t="n"/>
      <c r="H145" s="46" t="n"/>
      <c r="I145" s="47" t="n"/>
    </row>
    <row r="146" ht="22" customHeight="1">
      <c r="A146" s="48" t="n"/>
      <c r="B146" s="49" t="inlineStr">
        <is>
          <t>① 経　費（合算）</t>
        </is>
      </c>
      <c r="C146" s="50">
        <f>C115+'大日産業（不動産）_上期_7-12月'!C98+'Eats_上期_7-12月'!C67+'サイクルEV_上期_7-12月'!C56+'ボディケア_上期_7-12月'!C37</f>
        <v/>
      </c>
      <c r="D146" s="50">
        <f>D115+'大日産業（不動産）_上期_7-12月'!D98+'Eats_上期_7-12月'!D67+'サイクルEV_上期_7-12月'!D56+'ボディケア_上期_7-12月'!D37</f>
        <v/>
      </c>
      <c r="E146" s="50">
        <f>E115+'大日産業（不動産）_上期_7-12月'!E98+'Eats_上期_7-12月'!E67+'サイクルEV_上期_7-12月'!E56+'ボディケア_上期_7-12月'!E37</f>
        <v/>
      </c>
      <c r="F146" s="50">
        <f>F115+'大日産業（不動産）_上期_7-12月'!F98+'Eats_上期_7-12月'!F67+'サイクルEV_上期_7-12月'!F56+'ボディケア_上期_7-12月'!F37</f>
        <v/>
      </c>
      <c r="G146" s="50">
        <f>G115+'大日産業（不動産）_上期_7-12月'!G98+'Eats_上期_7-12月'!G67+'サイクルEV_上期_7-12月'!G56+'ボディケア_上期_7-12月'!G37</f>
        <v/>
      </c>
      <c r="H146" s="50">
        <f>H115+'大日産業（不動産）_上期_7-12月'!H98+'Eats_上期_7-12月'!H67+'サイクルEV_上期_7-12月'!H56+'ボディケア_上期_7-12月'!H37</f>
        <v/>
      </c>
      <c r="I146" s="50">
        <f>I115+'大日産業（不動産）_上期_7-12月'!I98+'Eats_上期_7-12月'!I67+'サイクルEV_上期_7-12月'!I56+'ボディケア_上期_7-12月'!I37</f>
        <v/>
      </c>
    </row>
    <row r="147" ht="22" customHeight="1">
      <c r="A147" s="51" t="n"/>
      <c r="B147" s="52" t="inlineStr">
        <is>
          <t>② 収　入（合算）</t>
        </is>
      </c>
      <c r="C147" s="53">
        <f>C138+'大日産業（不動産）_上期_7-12月'!C131+'Eats_上期_7-12月'!C84+'サイクルEV_上期_7-12月'!C75+'ボディケア_上期_7-12月'!C55</f>
        <v/>
      </c>
      <c r="D147" s="53">
        <f>D138+'大日産業（不動産）_上期_7-12月'!D131+'Eats_上期_7-12月'!D84+'サイクルEV_上期_7-12月'!D75+'ボディケア_上期_7-12月'!D55</f>
        <v/>
      </c>
      <c r="E147" s="53">
        <f>E138+'大日産業（不動産）_上期_7-12月'!E131+'Eats_上期_7-12月'!E84+'サイクルEV_上期_7-12月'!E75+'ボディケア_上期_7-12月'!E55</f>
        <v/>
      </c>
      <c r="F147" s="53">
        <f>F138+'大日産業（不動産）_上期_7-12月'!F131+'Eats_上期_7-12月'!F84+'サイクルEV_上期_7-12月'!F75+'ボディケア_上期_7-12月'!F55</f>
        <v/>
      </c>
      <c r="G147" s="53">
        <f>G138+'大日産業（不動産）_上期_7-12月'!G131+'Eats_上期_7-12月'!G84+'サイクルEV_上期_7-12月'!G75+'ボディケア_上期_7-12月'!G55</f>
        <v/>
      </c>
      <c r="H147" s="53">
        <f>H138+'大日産業（不動産）_上期_7-12月'!H131+'Eats_上期_7-12月'!H84+'サイクルEV_上期_7-12月'!H75+'ボディケア_上期_7-12月'!H55</f>
        <v/>
      </c>
      <c r="I147" s="53">
        <f>I138+'大日産業（不動産）_上期_7-12月'!I131+'Eats_上期_7-12月'!I84+'サイクルEV_上期_7-12月'!I75+'ボディケア_上期_7-12月'!I55</f>
        <v/>
      </c>
    </row>
    <row r="148" ht="22" customHeight="1">
      <c r="A148" s="54" t="n"/>
      <c r="B148" s="55" t="inlineStr">
        <is>
          <t>③ 収　支（合算）②－①</t>
        </is>
      </c>
      <c r="C148" s="56">
        <f>C138+'大日産業（不動産）_上期_7-12月'!C131+'Eats_上期_7-12月'!C84+'サイクルEV_上期_7-12月'!C75+'ボディケア_上期_7-12月'!C55-C115-'大日産業（不動産）_上期_7-12月'!C98-'Eats_上期_7-12月'!C67-'サイクルEV_上期_7-12月'!C56-'ボディケア_上期_7-12月'!C37</f>
        <v/>
      </c>
      <c r="D148" s="56">
        <f>D138+'大日産業（不動産）_上期_7-12月'!D131+'Eats_上期_7-12月'!D84+'サイクルEV_上期_7-12月'!D75+'ボディケア_上期_7-12月'!D55-D115-'大日産業（不動産）_上期_7-12月'!D98-'Eats_上期_7-12月'!D67-'サイクルEV_上期_7-12月'!D56-'ボディケア_上期_7-12月'!D37</f>
        <v/>
      </c>
      <c r="E148" s="56">
        <f>E138+'大日産業（不動産）_上期_7-12月'!E131+'Eats_上期_7-12月'!E84+'サイクルEV_上期_7-12月'!E75+'ボディケア_上期_7-12月'!E55-E115-'大日産業（不動産）_上期_7-12月'!E98-'Eats_上期_7-12月'!E67-'サイクルEV_上期_7-12月'!E56-'ボディケア_上期_7-12月'!E37</f>
        <v/>
      </c>
      <c r="F148" s="56">
        <f>F138+'大日産業（不動産）_上期_7-12月'!F131+'Eats_上期_7-12月'!F84+'サイクルEV_上期_7-12月'!F75+'ボディケア_上期_7-12月'!F55-F115-'大日産業（不動産）_上期_7-12月'!F98-'Eats_上期_7-12月'!F67-'サイクルEV_上期_7-12月'!F56-'ボディケア_上期_7-12月'!F37</f>
        <v/>
      </c>
      <c r="G148" s="56">
        <f>G138+'大日産業（不動産）_上期_7-12月'!G131+'Eats_上期_7-12月'!G84+'サイクルEV_上期_7-12月'!G75+'ボディケア_上期_7-12月'!G55-G115-'大日産業（不動産）_上期_7-12月'!G98-'Eats_上期_7-12月'!G67-'サイクルEV_上期_7-12月'!G56-'ボディケア_上期_7-12月'!G37</f>
        <v/>
      </c>
      <c r="H148" s="56">
        <f>H138+'大日産業（不動産）_上期_7-12月'!H131+'Eats_上期_7-12月'!H84+'サイクルEV_上期_7-12月'!H75+'ボディケア_上期_7-12月'!H55-H115-'大日産業（不動産）_上期_7-12月'!H98-'Eats_上期_7-12月'!H67-'サイクルEV_上期_7-12月'!H56-'ボディケア_上期_7-12月'!H37</f>
        <v/>
      </c>
      <c r="I148" s="56">
        <f>I138+'大日産業（不動産）_上期_7-12月'!I131+'Eats_上期_7-12月'!I84+'サイクルEV_上期_7-12月'!I75+'ボディケア_上期_7-12月'!I55-I115-'大日産業（不動産）_上期_7-12月'!I98-'Eats_上期_7-12月'!I67-'サイクルEV_上期_7-12月'!I56-'ボディケア_上期_7-12月'!I37</f>
        <v/>
      </c>
    </row>
  </sheetData>
  <mergeCells count="4">
    <mergeCell ref="A1:I1"/>
    <mergeCell ref="A117:I117"/>
    <mergeCell ref="A145:I145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K133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④ 大日産業（本社）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R8.6月</t>
        </is>
      </c>
      <c r="I2" s="2" t="inlineStr">
        <is>
          <t>下期累計</t>
        </is>
      </c>
      <c r="J2" s="2" t="inlineStr">
        <is>
          <t>上期累計</t>
        </is>
      </c>
      <c r="K2" s="2" t="inlineStr">
        <is>
          <t>通期合計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</t>
        </is>
      </c>
      <c r="C4" s="6">
        <f>SUM(C5:C12)</f>
        <v/>
      </c>
      <c r="D4" s="6">
        <f>SUM(D5:D12)</f>
        <v/>
      </c>
      <c r="E4" s="6">
        <f>SUM(E5:E12)</f>
        <v/>
      </c>
      <c r="F4" s="6">
        <f>SUM(F5:F12)</f>
        <v/>
      </c>
      <c r="G4" s="6">
        <f>SUM(G5:G12)</f>
        <v/>
      </c>
      <c r="H4" s="6">
        <f>SUM(H5:H12)</f>
        <v/>
      </c>
      <c r="I4" s="7">
        <f>SUM(I5:I12)</f>
        <v/>
      </c>
      <c r="J4" s="39">
        <f>SUM(J5:J12)</f>
        <v/>
      </c>
      <c r="K4" s="40">
        <f>SUM(K5:K12)</f>
        <v/>
      </c>
    </row>
    <row r="5" ht="13" customHeight="1">
      <c r="A5" s="8" t="inlineStr">
        <is>
          <t>20</t>
        </is>
      </c>
      <c r="B5" s="8" t="inlineStr">
        <is>
          <t xml:space="preserve">  役員報酬</t>
        </is>
      </c>
      <c r="C5" s="14" t="n">
        <v>500000</v>
      </c>
      <c r="D5" s="14" t="n">
        <v>500000</v>
      </c>
      <c r="E5" s="14" t="n">
        <v>500000</v>
      </c>
      <c r="F5" s="14" t="n">
        <v>500000</v>
      </c>
      <c r="G5" s="14" t="n">
        <v>500000</v>
      </c>
      <c r="H5" s="14" t="n"/>
      <c r="I5" s="10">
        <f>SUM(C5:H5)</f>
        <v/>
      </c>
      <c r="J5" s="41">
        <f>'大日産業（本社）_上期_7-12月'!I10</f>
        <v/>
      </c>
      <c r="K5" s="42">
        <f>I5+J5</f>
        <v/>
      </c>
    </row>
    <row r="6" ht="13" customHeight="1">
      <c r="A6" s="8" t="inlineStr"/>
      <c r="B6" s="8" t="inlineStr">
        <is>
          <t xml:space="preserve">  厚生年金（役員）会社負担</t>
        </is>
      </c>
      <c r="C6" s="9" t="n">
        <v>57960</v>
      </c>
      <c r="D6" s="9" t="n">
        <v>57960</v>
      </c>
      <c r="E6" s="9" t="n">
        <v>57960</v>
      </c>
      <c r="F6" s="9" t="n">
        <v>57716</v>
      </c>
      <c r="G6" s="9" t="n"/>
      <c r="H6" s="9" t="n"/>
      <c r="I6" s="10">
        <f>SUM(C6:H6)</f>
        <v/>
      </c>
      <c r="J6" s="41">
        <f>'大日産業（本社）_上期_7-12月'!I5</f>
        <v/>
      </c>
      <c r="K6" s="42">
        <f>I6+J6</f>
        <v/>
      </c>
    </row>
    <row r="7" ht="13" customHeight="1">
      <c r="A7" s="8" t="inlineStr"/>
      <c r="B7" s="8" t="inlineStr">
        <is>
          <t xml:space="preserve">  厚生年金（役員）会社負担</t>
        </is>
      </c>
      <c r="C7" s="9" t="n">
        <v>24877</v>
      </c>
      <c r="D7" s="9" t="n">
        <v>24959</v>
      </c>
      <c r="E7" s="9" t="n">
        <v>24994</v>
      </c>
      <c r="F7" s="9" t="n">
        <v>25381</v>
      </c>
      <c r="G7" s="9" t="n"/>
      <c r="H7" s="9" t="n"/>
      <c r="I7" s="10">
        <f>SUM(C7:H7)</f>
        <v/>
      </c>
      <c r="J7" s="41">
        <f>'大日産業（本社）_上期_7-12月'!I6</f>
        <v/>
      </c>
      <c r="K7" s="42">
        <f>I7+J7</f>
        <v/>
      </c>
    </row>
    <row r="8" ht="13" customHeight="1">
      <c r="A8" s="8" t="inlineStr"/>
      <c r="B8" s="8" t="inlineStr">
        <is>
          <t xml:space="preserve">  パウダーアイス社員</t>
        </is>
      </c>
      <c r="C8" s="9" t="n">
        <v>160303</v>
      </c>
      <c r="D8" s="9" t="n">
        <v>175238</v>
      </c>
      <c r="E8" s="9" t="n">
        <v>181654</v>
      </c>
      <c r="F8" s="9" t="n">
        <v>271961</v>
      </c>
      <c r="G8" s="9" t="n"/>
      <c r="H8" s="9" t="n"/>
      <c r="I8" s="10">
        <f>SUM(C8:H8)</f>
        <v/>
      </c>
      <c r="J8" s="41">
        <f>'大日産業（本社）_上期_7-12月'!I8</f>
        <v/>
      </c>
      <c r="K8" s="42">
        <f>I8+J8</f>
        <v/>
      </c>
    </row>
    <row r="9" ht="13" customHeight="1">
      <c r="A9" s="8" t="inlineStr"/>
      <c r="B9" s="8" t="inlineStr">
        <is>
          <t xml:space="preserve">  長野農研</t>
        </is>
      </c>
      <c r="C9" s="9" t="n">
        <v>130900</v>
      </c>
      <c r="D9" s="9" t="n">
        <v>101200</v>
      </c>
      <c r="E9" s="9" t="n">
        <v>95700</v>
      </c>
      <c r="F9" s="9" t="n">
        <v>143000</v>
      </c>
      <c r="G9" s="9" t="n"/>
      <c r="H9" s="9" t="n"/>
      <c r="I9" s="10">
        <f>SUM(C9:H9)</f>
        <v/>
      </c>
      <c r="J9" s="41">
        <f>'大日産業（本社）_上期_7-12月'!I7</f>
        <v/>
      </c>
      <c r="K9" s="42">
        <f>I9+J9</f>
        <v/>
      </c>
    </row>
    <row r="10" ht="13" customHeight="1">
      <c r="A10" s="8" t="inlineStr"/>
      <c r="B10" s="8" t="inlineStr">
        <is>
          <t xml:space="preserve">  労働保険　（9.11.2.3）</t>
        </is>
      </c>
      <c r="C10" s="9" t="n"/>
      <c r="D10" s="9" t="n">
        <v>286539</v>
      </c>
      <c r="E10" s="9" t="n"/>
      <c r="F10" s="9" t="n"/>
      <c r="G10" s="9" t="n"/>
      <c r="H10" s="9" t="n"/>
      <c r="I10" s="10">
        <f>SUM(C10:H10)</f>
        <v/>
      </c>
      <c r="J10" s="41">
        <f>'大日産業（本社）_上期_7-12月'!I11</f>
        <v/>
      </c>
      <c r="K10" s="42">
        <f>I10+J10</f>
        <v/>
      </c>
    </row>
    <row r="11" ht="13" customHeight="1">
      <c r="A11" s="8" t="inlineStr">
        <is>
          <t>20</t>
        </is>
      </c>
      <c r="B11" s="8" t="inlineStr">
        <is>
          <t xml:space="preserve">  経理　総務部門　給料（PA）</t>
        </is>
      </c>
      <c r="C11" s="9" t="n"/>
      <c r="D11" s="9" t="n"/>
      <c r="E11" s="9" t="n"/>
      <c r="F11" s="9" t="n"/>
      <c r="G11" s="9" t="n"/>
      <c r="H11" s="9" t="n"/>
      <c r="I11" s="10">
        <f>SUM(C11:H11)</f>
        <v/>
      </c>
      <c r="J11" s="41">
        <f>'大日産業（本社）_上期_7-12月'!I12</f>
        <v/>
      </c>
      <c r="K11" s="42">
        <f>I11+J11</f>
        <v/>
      </c>
    </row>
    <row r="12" ht="12" customHeight="1">
      <c r="A12" s="11" t="n"/>
      <c r="B12" s="11" t="n"/>
      <c r="C12" s="12" t="n"/>
      <c r="D12" s="12" t="n"/>
      <c r="E12" s="12" t="n"/>
      <c r="F12" s="12" t="n"/>
      <c r="G12" s="12" t="n"/>
      <c r="H12" s="12" t="n"/>
      <c r="I12" s="13" t="n"/>
      <c r="J12" s="43" t="n"/>
      <c r="K12" s="44" t="n"/>
    </row>
    <row r="13" ht="14" customHeight="1">
      <c r="A13" s="4" t="n"/>
      <c r="B13" s="5" t="inlineStr">
        <is>
          <t>▶ 雑費</t>
        </is>
      </c>
      <c r="C13" s="6">
        <f>SUM(C14:C33)</f>
        <v/>
      </c>
      <c r="D13" s="6">
        <f>SUM(D14:D33)</f>
        <v/>
      </c>
      <c r="E13" s="6">
        <f>SUM(E14:E33)</f>
        <v/>
      </c>
      <c r="F13" s="6">
        <f>SUM(F14:F33)</f>
        <v/>
      </c>
      <c r="G13" s="6">
        <f>SUM(G14:G33)</f>
        <v/>
      </c>
      <c r="H13" s="6">
        <f>SUM(H14:H33)</f>
        <v/>
      </c>
      <c r="I13" s="7">
        <f>SUM(I14:I33)</f>
        <v/>
      </c>
      <c r="J13" s="39">
        <f>SUM(J14:J33)</f>
        <v/>
      </c>
      <c r="K13" s="40">
        <f>SUM(K14:K33)</f>
        <v/>
      </c>
    </row>
    <row r="14" ht="13" customHeight="1">
      <c r="A14" s="8" t="inlineStr">
        <is>
          <t>10</t>
        </is>
      </c>
      <c r="B14" s="8" t="inlineStr">
        <is>
          <t xml:space="preserve">  ｼﾝｷﾝJCB　ETC ｶﾞｿﾘﾝ代</t>
        </is>
      </c>
      <c r="C14" s="9" t="n">
        <v>38880</v>
      </c>
      <c r="D14" s="9" t="n">
        <v>68680</v>
      </c>
      <c r="E14" s="9" t="n">
        <v>23200</v>
      </c>
      <c r="F14" s="9" t="n">
        <v>82270</v>
      </c>
      <c r="G14" s="9" t="n"/>
      <c r="H14" s="9" t="n"/>
      <c r="I14" s="10">
        <f>SUM(C14:H14)</f>
        <v/>
      </c>
      <c r="J14" s="41">
        <f>'大日産業（本社）_上期_7-12月'!I15</f>
        <v/>
      </c>
      <c r="K14" s="42">
        <f>I14+J14</f>
        <v/>
      </c>
    </row>
    <row r="15" ht="13" customHeight="1">
      <c r="A15" s="8" t="inlineStr">
        <is>
          <t>2</t>
        </is>
      </c>
      <c r="B15" s="8" t="inlineStr">
        <is>
          <t xml:space="preserve">  ENEOS　ビジネスカード</t>
        </is>
      </c>
      <c r="C15" s="9" t="n">
        <v>34825</v>
      </c>
      <c r="D15" s="9" t="n">
        <v>90553</v>
      </c>
      <c r="E15" s="9" t="n">
        <v>74805</v>
      </c>
      <c r="F15" s="9" t="n">
        <v>53347</v>
      </c>
      <c r="G15" s="9" t="n"/>
      <c r="H15" s="9" t="n"/>
      <c r="I15" s="10">
        <f>SUM(C15:H15)</f>
        <v/>
      </c>
      <c r="J15" s="41">
        <f>'大日産業（本社）_上期_7-12月'!I16</f>
        <v/>
      </c>
      <c r="K15" s="42">
        <f>I15+J15</f>
        <v/>
      </c>
    </row>
    <row r="16" ht="13" customHeight="1">
      <c r="A16" s="8" t="inlineStr"/>
      <c r="B16" s="8" t="inlineStr">
        <is>
          <t xml:space="preserve">  振込手数料</t>
        </is>
      </c>
      <c r="C16" s="9" t="n">
        <v>35530</v>
      </c>
      <c r="D16" s="9" t="n">
        <v>32890</v>
      </c>
      <c r="E16" s="9" t="n">
        <v>32780</v>
      </c>
      <c r="F16" s="9" t="n">
        <v>32285</v>
      </c>
      <c r="G16" s="9" t="n"/>
      <c r="H16" s="9" t="n"/>
      <c r="I16" s="10">
        <f>SUM(C16:H16)</f>
        <v/>
      </c>
      <c r="J16" s="41">
        <f>'大日産業（本社）_上期_7-12月'!I17</f>
        <v/>
      </c>
      <c r="K16" s="42">
        <f>I16+J16</f>
        <v/>
      </c>
    </row>
    <row r="17" ht="13" customHeight="1">
      <c r="A17" s="8" t="inlineStr"/>
      <c r="B17" s="8" t="inlineStr">
        <is>
          <t xml:space="preserve">  十六社長カード　交際費</t>
        </is>
      </c>
      <c r="C17" s="9" t="n">
        <v>46986</v>
      </c>
      <c r="D17" s="9" t="n">
        <v>124717</v>
      </c>
      <c r="E17" s="9" t="n">
        <v>24332</v>
      </c>
      <c r="F17" s="9" t="n">
        <v>69621</v>
      </c>
      <c r="G17" s="9" t="n"/>
      <c r="H17" s="9" t="n"/>
      <c r="I17" s="10">
        <f>SUM(C17:H17)</f>
        <v/>
      </c>
      <c r="J17" s="41">
        <f>'大日産業（本社）_上期_7-12月'!I18</f>
        <v/>
      </c>
      <c r="K17" s="42">
        <f>I17+J17</f>
        <v/>
      </c>
    </row>
    <row r="18" ht="13" customHeight="1">
      <c r="A18" s="8" t="inlineStr">
        <is>
          <t>21</t>
        </is>
      </c>
      <c r="B18" s="8" t="inlineStr">
        <is>
          <t xml:space="preserve">  小口現金　本社</t>
        </is>
      </c>
      <c r="C18" s="9" t="n">
        <v>100000</v>
      </c>
      <c r="D18" s="9" t="n">
        <v>150000</v>
      </c>
      <c r="E18" s="9" t="n">
        <v>100000</v>
      </c>
      <c r="F18" s="9" t="n"/>
      <c r="G18" s="9" t="n"/>
      <c r="H18" s="9" t="n"/>
      <c r="I18" s="10">
        <f>SUM(C18:H18)</f>
        <v/>
      </c>
      <c r="J18" s="41">
        <f>'大日産業（本社）_上期_7-12月'!I19</f>
        <v/>
      </c>
      <c r="K18" s="42">
        <f>I18+J18</f>
        <v/>
      </c>
    </row>
    <row r="19" ht="13" customHeight="1">
      <c r="A19" s="8" t="inlineStr">
        <is>
          <t>26</t>
        </is>
      </c>
      <c r="B19" s="8" t="inlineStr">
        <is>
          <t xml:space="preserve">  小口現金</t>
        </is>
      </c>
      <c r="C19" s="9" t="n"/>
      <c r="D19" s="9" t="n"/>
      <c r="E19" s="9" t="n">
        <v>150000</v>
      </c>
      <c r="F19" s="9" t="n"/>
      <c r="G19" s="9" t="n"/>
      <c r="H19" s="9" t="n"/>
      <c r="I19" s="10">
        <f>SUM(C19:H19)</f>
        <v/>
      </c>
      <c r="J19" s="41">
        <f>'大日産業（本社）_上期_7-12月'!I20</f>
        <v/>
      </c>
      <c r="K19" s="42">
        <f>I19+J19</f>
        <v/>
      </c>
    </row>
    <row r="20" ht="13" customHeight="1">
      <c r="A20" s="8" t="inlineStr">
        <is>
          <t>6</t>
        </is>
      </c>
      <c r="B20" s="8" t="inlineStr">
        <is>
          <t xml:space="preserve">  セディナ新幹線（社長）</t>
        </is>
      </c>
      <c r="C20" s="9" t="n"/>
      <c r="D20" s="9" t="n"/>
      <c r="E20" s="9" t="n"/>
      <c r="F20" s="9" t="n"/>
      <c r="G20" s="9" t="n">
        <v>25750</v>
      </c>
      <c r="H20" s="9" t="n"/>
      <c r="I20" s="10">
        <f>SUM(C20:H20)</f>
        <v/>
      </c>
      <c r="J20" s="41">
        <f>'大日産業（本社）_上期_7-12月'!I21</f>
        <v/>
      </c>
      <c r="K20" s="42">
        <f>I20+J20</f>
        <v/>
      </c>
    </row>
    <row r="21" ht="13" customHeight="1">
      <c r="A21" s="8" t="inlineStr">
        <is>
          <t>10</t>
        </is>
      </c>
      <c r="B21" s="8" t="inlineStr">
        <is>
          <t xml:space="preserve">  竹花園　葉牡丹</t>
        </is>
      </c>
      <c r="C21" s="9" t="n">
        <v>28600</v>
      </c>
      <c r="D21" s="9" t="n"/>
      <c r="E21" s="9" t="n"/>
      <c r="F21" s="9" t="n"/>
      <c r="G21" s="9" t="n"/>
      <c r="H21" s="9" t="n"/>
      <c r="I21" s="10">
        <f>SUM(C21:H21)</f>
        <v/>
      </c>
      <c r="J21" s="41" t="n"/>
      <c r="K21" s="42">
        <f>I21+J21</f>
        <v/>
      </c>
    </row>
    <row r="22" ht="13" customHeight="1">
      <c r="A22" s="8" t="inlineStr"/>
      <c r="B22" s="8" t="inlineStr">
        <is>
          <t xml:space="preserve">  瀬古花　しめ縄</t>
        </is>
      </c>
      <c r="C22" s="9" t="n">
        <v>26620</v>
      </c>
      <c r="D22" s="9" t="n"/>
      <c r="E22" s="9" t="n"/>
      <c r="F22" s="9" t="n"/>
      <c r="G22" s="9" t="n"/>
      <c r="H22" s="9" t="n"/>
      <c r="I22" s="10">
        <f>SUM(C22:H22)</f>
        <v/>
      </c>
      <c r="J22" s="41" t="n"/>
      <c r="K22" s="42">
        <f>I22+J22</f>
        <v/>
      </c>
    </row>
    <row r="23" ht="13" customHeight="1">
      <c r="A23" s="8" t="inlineStr"/>
      <c r="B23" s="8" t="inlineStr">
        <is>
          <t xml:space="preserve">  商工会　健康診断</t>
        </is>
      </c>
      <c r="C23" s="9" t="n">
        <v>177600</v>
      </c>
      <c r="D23" s="9" t="n"/>
      <c r="E23" s="9" t="n"/>
      <c r="F23" s="9" t="n"/>
      <c r="G23" s="9" t="n"/>
      <c r="H23" s="9" t="n"/>
      <c r="I23" s="10">
        <f>SUM(C23:H23)</f>
        <v/>
      </c>
      <c r="J23" s="41" t="n"/>
      <c r="K23" s="42">
        <f>I23+J23</f>
        <v/>
      </c>
    </row>
    <row r="24" ht="13" customHeight="1">
      <c r="A24" s="8" t="inlineStr">
        <is>
          <t>20</t>
        </is>
      </c>
      <c r="B24" s="8" t="inlineStr">
        <is>
          <t xml:space="preserve">  フルーツ羽島　御歳暮</t>
        </is>
      </c>
      <c r="C24" s="9" t="n">
        <v>238770</v>
      </c>
      <c r="D24" s="9" t="n"/>
      <c r="E24" s="9" t="n"/>
      <c r="F24" s="9" t="n"/>
      <c r="G24" s="9" t="n"/>
      <c r="H24" s="9" t="n"/>
      <c r="I24" s="10">
        <f>SUM(C24:H24)</f>
        <v/>
      </c>
      <c r="J24" s="41" t="n"/>
      <c r="K24" s="42">
        <f>I24+J24</f>
        <v/>
      </c>
    </row>
    <row r="25" ht="13" customHeight="1">
      <c r="A25" s="8" t="inlineStr">
        <is>
          <t>30</t>
        </is>
      </c>
      <c r="B25" s="8" t="inlineStr">
        <is>
          <t xml:space="preserve">  年賀状</t>
        </is>
      </c>
      <c r="C25" s="9" t="n">
        <v>30470</v>
      </c>
      <c r="D25" s="9" t="n"/>
      <c r="E25" s="9" t="n"/>
      <c r="F25" s="9" t="n"/>
      <c r="G25" s="9" t="n"/>
      <c r="H25" s="9" t="n"/>
      <c r="I25" s="10">
        <f>SUM(C25:H25)</f>
        <v/>
      </c>
      <c r="J25" s="41" t="n"/>
      <c r="K25" s="42">
        <f>I25+J25</f>
        <v/>
      </c>
    </row>
    <row r="26" ht="13" customHeight="1">
      <c r="A26" s="8" t="inlineStr"/>
      <c r="B26" s="8" t="inlineStr">
        <is>
          <t xml:space="preserve">  Rサプライ</t>
        </is>
      </c>
      <c r="C26" s="9" t="n">
        <v>24003</v>
      </c>
      <c r="D26" s="9" t="n"/>
      <c r="E26" s="9" t="n"/>
      <c r="F26" s="9" t="n"/>
      <c r="G26" s="9" t="n"/>
      <c r="H26" s="9" t="n"/>
      <c r="I26" s="10">
        <f>SUM(C26:H26)</f>
        <v/>
      </c>
      <c r="J26" s="41">
        <f>'大日産業（本社）_上期_7-12月'!I25</f>
        <v/>
      </c>
      <c r="K26" s="42">
        <f>I26+J26</f>
        <v/>
      </c>
    </row>
    <row r="27" ht="13" customHeight="1">
      <c r="A27" s="8" t="inlineStr">
        <is>
          <t>20</t>
        </is>
      </c>
      <c r="B27" s="8" t="inlineStr">
        <is>
          <t xml:space="preserve">  エムテック</t>
        </is>
      </c>
      <c r="C27" s="9" t="n"/>
      <c r="D27" s="9" t="n">
        <v>11000</v>
      </c>
      <c r="E27" s="9" t="n"/>
      <c r="F27" s="9" t="n"/>
      <c r="G27" s="9" t="n"/>
      <c r="H27" s="9" t="n"/>
      <c r="I27" s="10">
        <f>SUM(C27:H27)</f>
        <v/>
      </c>
      <c r="J27" s="41" t="n"/>
      <c r="K27" s="42">
        <f>I27+J27</f>
        <v/>
      </c>
    </row>
    <row r="28" ht="13" customHeight="1">
      <c r="A28" s="8" t="inlineStr">
        <is>
          <t>20</t>
        </is>
      </c>
      <c r="B28" s="8" t="inlineStr">
        <is>
          <t xml:space="preserve">  三甲ゴルフ</t>
        </is>
      </c>
      <c r="C28" s="9" t="n"/>
      <c r="D28" s="9" t="n"/>
      <c r="E28" s="9" t="n">
        <v>66000</v>
      </c>
      <c r="F28" s="9" t="n"/>
      <c r="G28" s="9" t="n"/>
      <c r="H28" s="9" t="n"/>
      <c r="I28" s="10">
        <f>SUM(C28:H28)</f>
        <v/>
      </c>
      <c r="J28" s="41" t="n"/>
      <c r="K28" s="42">
        <f>I28+J28</f>
        <v/>
      </c>
    </row>
    <row r="29" ht="13" customHeight="1">
      <c r="A29" s="8" t="inlineStr"/>
      <c r="B29" s="8" t="inlineStr">
        <is>
          <t xml:space="preserve">  トヨペット　車検</t>
        </is>
      </c>
      <c r="C29" s="9" t="n"/>
      <c r="D29" s="9" t="n"/>
      <c r="E29" s="9" t="n">
        <v>148313</v>
      </c>
      <c r="F29" s="9" t="n"/>
      <c r="G29" s="9" t="n"/>
      <c r="H29" s="9" t="n"/>
      <c r="I29" s="10">
        <f>SUM(C29:H29)</f>
        <v/>
      </c>
      <c r="J29" s="41" t="n"/>
      <c r="K29" s="42">
        <f>I29+J29</f>
        <v/>
      </c>
    </row>
    <row r="30" ht="13" customHeight="1">
      <c r="A30" s="8" t="inlineStr">
        <is>
          <t>20</t>
        </is>
      </c>
      <c r="B30" s="8" t="inlineStr">
        <is>
          <t xml:space="preserve">  伊自良モーター　プリウス車検</t>
        </is>
      </c>
      <c r="C30" s="9" t="n"/>
      <c r="D30" s="9" t="n"/>
      <c r="E30" s="9" t="n"/>
      <c r="F30" s="9" t="n">
        <v>150983</v>
      </c>
      <c r="G30" s="9" t="n"/>
      <c r="H30" s="9" t="n"/>
      <c r="I30" s="10">
        <f>SUM(C30:H30)</f>
        <v/>
      </c>
      <c r="J30" s="41" t="n"/>
      <c r="K30" s="42">
        <f>I30+J30</f>
        <v/>
      </c>
    </row>
    <row r="31" ht="13" customHeight="1">
      <c r="A31" s="8" t="inlineStr"/>
      <c r="B31" s="8" t="inlineStr">
        <is>
          <t xml:space="preserve">  ﾔﾏﾄ</t>
        </is>
      </c>
      <c r="C31" s="9" t="n"/>
      <c r="D31" s="9" t="n"/>
      <c r="E31" s="9" t="n"/>
      <c r="F31" s="9" t="n"/>
      <c r="G31" s="9" t="n"/>
      <c r="H31" s="9" t="n"/>
      <c r="I31" s="10">
        <f>SUM(C31:H31)</f>
        <v/>
      </c>
      <c r="J31" s="41">
        <f>'大日産業（本社）_上期_7-12月'!I26</f>
        <v/>
      </c>
      <c r="K31" s="42">
        <f>I31+J31</f>
        <v/>
      </c>
    </row>
    <row r="32" ht="13" customHeight="1">
      <c r="A32" s="8" t="inlineStr"/>
      <c r="B32" s="8" t="inlineStr">
        <is>
          <t xml:space="preserve">  佐川急便</t>
        </is>
      </c>
      <c r="C32" s="9" t="n"/>
      <c r="D32" s="9" t="n"/>
      <c r="E32" s="9" t="n"/>
      <c r="F32" s="9" t="n"/>
      <c r="G32" s="9" t="n"/>
      <c r="H32" s="9" t="n"/>
      <c r="I32" s="10">
        <f>SUM(C32:H32)</f>
        <v/>
      </c>
      <c r="J32" s="41">
        <f>'大日産業（本社）_上期_7-12月'!I23</f>
        <v/>
      </c>
      <c r="K32" s="42">
        <f>I32+J32</f>
        <v/>
      </c>
    </row>
    <row r="33" ht="1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3" t="n"/>
      <c r="J33" s="43" t="n"/>
      <c r="K33" s="44" t="n"/>
    </row>
    <row r="34" ht="14" customHeight="1">
      <c r="A34" s="4" t="n"/>
      <c r="B34" s="5" t="inlineStr">
        <is>
          <t>▶ 福祉部門</t>
        </is>
      </c>
      <c r="C34" s="6">
        <f>SUM(C35:C38)</f>
        <v/>
      </c>
      <c r="D34" s="6">
        <f>SUM(D35:D38)</f>
        <v/>
      </c>
      <c r="E34" s="6">
        <f>SUM(E35:E38)</f>
        <v/>
      </c>
      <c r="F34" s="6">
        <f>SUM(F35:F38)</f>
        <v/>
      </c>
      <c r="G34" s="6">
        <f>SUM(G35:G38)</f>
        <v/>
      </c>
      <c r="H34" s="6">
        <f>SUM(H35:H38)</f>
        <v/>
      </c>
      <c r="I34" s="7">
        <f>SUM(I35:I38)</f>
        <v/>
      </c>
      <c r="J34" s="39">
        <f>SUM(J35:J38)</f>
        <v/>
      </c>
      <c r="K34" s="40">
        <f>SUM(K35:K38)</f>
        <v/>
      </c>
    </row>
    <row r="35" ht="13" customHeight="1">
      <c r="A35" s="8" t="inlineStr"/>
      <c r="B35" s="8" t="inlineStr">
        <is>
          <t xml:space="preserve">  ウェルピア業務委託費へ（羽島）</t>
        </is>
      </c>
      <c r="C35" s="14" t="n">
        <v>650000</v>
      </c>
      <c r="D35" s="14" t="n">
        <v>650000</v>
      </c>
      <c r="E35" s="14" t="n">
        <v>650000</v>
      </c>
      <c r="F35" s="14" t="n">
        <v>650000</v>
      </c>
      <c r="G35" s="14" t="n">
        <v>650000</v>
      </c>
      <c r="H35" s="14" t="n"/>
      <c r="I35" s="10">
        <f>SUM(C35:H35)</f>
        <v/>
      </c>
      <c r="J35" s="41">
        <f>'大日産業（本社）_上期_7-12月'!I43</f>
        <v/>
      </c>
      <c r="K35" s="42">
        <f>I35+J35</f>
        <v/>
      </c>
    </row>
    <row r="36" ht="13" customHeight="1">
      <c r="A36" s="8" t="inlineStr"/>
      <c r="B36" s="8" t="inlineStr">
        <is>
          <t xml:space="preserve">  ウェルピア　→　大日就労移行人件費</t>
        </is>
      </c>
      <c r="C36" s="9" t="n">
        <v>184850</v>
      </c>
      <c r="D36" s="9" t="n">
        <v>171530</v>
      </c>
      <c r="E36" s="9" t="n">
        <v>287368</v>
      </c>
      <c r="F36" s="9" t="n">
        <v>201344</v>
      </c>
      <c r="G36" s="9" t="n"/>
      <c r="H36" s="9" t="n"/>
      <c r="I36" s="10">
        <f>SUM(C36:H36)</f>
        <v/>
      </c>
      <c r="J36" s="41">
        <f>'大日産業（本社）_上期_7-12月'!I42</f>
        <v/>
      </c>
      <c r="K36" s="42">
        <f>I36+J36</f>
        <v/>
      </c>
    </row>
    <row r="37" ht="13" customHeight="1">
      <c r="A37" s="8" t="inlineStr"/>
      <c r="B37" s="8" t="inlineStr">
        <is>
          <t xml:space="preserve">  中部　トーカイサーモ　サカエ等</t>
        </is>
      </c>
      <c r="C37" s="9" t="n"/>
      <c r="D37" s="9" t="n"/>
      <c r="E37" s="9" t="n"/>
      <c r="F37" s="9" t="n">
        <v>564935</v>
      </c>
      <c r="G37" s="9" t="n"/>
      <c r="H37" s="9" t="n"/>
      <c r="I37" s="10">
        <f>SUM(C37:H37)</f>
        <v/>
      </c>
      <c r="J37" s="41" t="n"/>
      <c r="K37" s="42">
        <f>I37+J37</f>
        <v/>
      </c>
    </row>
    <row r="38" ht="12" customHeight="1">
      <c r="A38" s="11" t="n"/>
      <c r="B38" s="11" t="n"/>
      <c r="C38" s="12" t="n"/>
      <c r="D38" s="12" t="n"/>
      <c r="E38" s="12" t="n"/>
      <c r="F38" s="12" t="n"/>
      <c r="G38" s="12" t="n"/>
      <c r="H38" s="12" t="n"/>
      <c r="I38" s="13" t="n"/>
      <c r="J38" s="43" t="n"/>
      <c r="K38" s="44" t="n"/>
    </row>
    <row r="39" ht="14" customHeight="1">
      <c r="A39" s="4" t="n"/>
      <c r="B39" s="5" t="inlineStr">
        <is>
          <t>▶ 銀行返済</t>
        </is>
      </c>
      <c r="C39" s="6">
        <f>SUM(C40:C41)</f>
        <v/>
      </c>
      <c r="D39" s="6">
        <f>SUM(D40:D41)</f>
        <v/>
      </c>
      <c r="E39" s="6">
        <f>SUM(E40:E41)</f>
        <v/>
      </c>
      <c r="F39" s="6">
        <f>SUM(F40:F41)</f>
        <v/>
      </c>
      <c r="G39" s="6">
        <f>SUM(G40:G41)</f>
        <v/>
      </c>
      <c r="H39" s="6">
        <f>SUM(H40:H41)</f>
        <v/>
      </c>
      <c r="I39" s="7">
        <f>SUM(I40:I41)</f>
        <v/>
      </c>
      <c r="J39" s="39">
        <f>SUM(J40:J41)</f>
        <v/>
      </c>
      <c r="K39" s="40">
        <f>SUM(K40:K41)</f>
        <v/>
      </c>
    </row>
    <row r="40" ht="13" customHeight="1">
      <c r="A40" s="8" t="inlineStr">
        <is>
          <t>25</t>
        </is>
      </c>
      <c r="B40" s="8" t="inlineStr">
        <is>
          <t xml:space="preserve">  岐信　2400万　アクトス（7回〜10回）</t>
        </is>
      </c>
      <c r="C40" s="9" t="n">
        <v>225017</v>
      </c>
      <c r="D40" s="9" t="n">
        <v>221843</v>
      </c>
      <c r="E40" s="9" t="n">
        <v>228507</v>
      </c>
      <c r="F40" s="9" t="n">
        <v>227097</v>
      </c>
      <c r="G40" s="9" t="n"/>
      <c r="H40" s="9" t="n"/>
      <c r="I40" s="10">
        <f>SUM(C40:H40)</f>
        <v/>
      </c>
      <c r="J40" s="41">
        <f>'大日産業（本社）_上期_7-12月'!I46</f>
        <v/>
      </c>
      <c r="K40" s="42">
        <f>I40+J40</f>
        <v/>
      </c>
    </row>
    <row r="41" ht="1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3" t="n"/>
      <c r="J41" s="43" t="n"/>
      <c r="K41" s="44" t="n"/>
    </row>
    <row r="42" ht="14" customHeight="1">
      <c r="A42" s="4" t="n"/>
      <c r="B42" s="5" t="inlineStr">
        <is>
          <t>▶ 顧問料  定額雑費</t>
        </is>
      </c>
      <c r="C42" s="6">
        <f>SUM(C43:C51)</f>
        <v/>
      </c>
      <c r="D42" s="6">
        <f>SUM(D43:D51)</f>
        <v/>
      </c>
      <c r="E42" s="6">
        <f>SUM(E43:E51)</f>
        <v/>
      </c>
      <c r="F42" s="6">
        <f>SUM(F43:F51)</f>
        <v/>
      </c>
      <c r="G42" s="6">
        <f>SUM(G43:G51)</f>
        <v/>
      </c>
      <c r="H42" s="6">
        <f>SUM(H43:H51)</f>
        <v/>
      </c>
      <c r="I42" s="7">
        <f>SUM(I43:I51)</f>
        <v/>
      </c>
      <c r="J42" s="39">
        <f>SUM(J43:J51)</f>
        <v/>
      </c>
      <c r="K42" s="40">
        <f>SUM(K43:K51)</f>
        <v/>
      </c>
    </row>
    <row r="43" ht="13" customHeight="1">
      <c r="A43" s="8" t="inlineStr">
        <is>
          <t>31</t>
        </is>
      </c>
      <c r="B43" s="8" t="inlineStr">
        <is>
          <t xml:space="preserve">  高橋弁護士事務所</t>
        </is>
      </c>
      <c r="C43" s="14" t="n">
        <v>20540</v>
      </c>
      <c r="D43" s="14" t="n">
        <v>20540</v>
      </c>
      <c r="E43" s="14" t="n">
        <v>20540</v>
      </c>
      <c r="F43" s="14" t="n">
        <v>20540</v>
      </c>
      <c r="G43" s="14" t="n">
        <v>20540</v>
      </c>
      <c r="H43" s="14" t="n"/>
      <c r="I43" s="10">
        <f>SUM(C43:H43)</f>
        <v/>
      </c>
      <c r="J43" s="41">
        <f>'大日産業（本社）_上期_7-12月'!I52</f>
        <v/>
      </c>
      <c r="K43" s="42">
        <f>I43+J43</f>
        <v/>
      </c>
    </row>
    <row r="44" ht="13" customHeight="1">
      <c r="A44" s="8" t="inlineStr">
        <is>
          <t>15</t>
        </is>
      </c>
      <c r="B44" s="8" t="inlineStr">
        <is>
          <t xml:space="preserve">  ギフシン.大共ネットバンク</t>
        </is>
      </c>
      <c r="C44" s="14" t="n">
        <v>6600</v>
      </c>
      <c r="D44" s="14" t="n">
        <v>6600</v>
      </c>
      <c r="E44" s="14" t="n">
        <v>6600</v>
      </c>
      <c r="F44" s="14" t="n">
        <v>6600</v>
      </c>
      <c r="G44" s="14" t="n">
        <v>6600</v>
      </c>
      <c r="H44" s="14" t="n"/>
      <c r="I44" s="10">
        <f>SUM(C44:H44)</f>
        <v/>
      </c>
      <c r="J44" s="41">
        <f>'大日産業（本社）_上期_7-12月'!I53</f>
        <v/>
      </c>
      <c r="K44" s="42">
        <f>I44+J44</f>
        <v/>
      </c>
    </row>
    <row r="45" ht="13" customHeight="1">
      <c r="A45" s="8" t="inlineStr"/>
      <c r="B45" s="8" t="inlineStr">
        <is>
          <t xml:space="preserve">  F&amp;M　事業再構築＆顧問料</t>
        </is>
      </c>
      <c r="C45" s="14" t="n">
        <v>49500</v>
      </c>
      <c r="D45" s="14" t="n">
        <v>49500</v>
      </c>
      <c r="E45" s="14" t="n">
        <v>49500</v>
      </c>
      <c r="F45" s="14" t="n">
        <v>49500</v>
      </c>
      <c r="G45" s="14" t="n">
        <v>49500</v>
      </c>
      <c r="H45" s="14" t="n"/>
      <c r="I45" s="10">
        <f>SUM(C45:H45)</f>
        <v/>
      </c>
      <c r="J45" s="41">
        <f>'大日産業（本社）_上期_7-12月'!I55</f>
        <v/>
      </c>
      <c r="K45" s="42">
        <f>I45+J45</f>
        <v/>
      </c>
    </row>
    <row r="46" ht="13" customHeight="1">
      <c r="A46" s="8" t="inlineStr">
        <is>
          <t>9</t>
        </is>
      </c>
      <c r="B46" s="8" t="inlineStr">
        <is>
          <t xml:space="preserve">  ブリックス社労士</t>
        </is>
      </c>
      <c r="C46" s="14" t="n">
        <v>22952</v>
      </c>
      <c r="D46" s="14" t="n">
        <v>22952</v>
      </c>
      <c r="E46" s="14" t="n">
        <v>22952</v>
      </c>
      <c r="F46" s="14" t="n">
        <v>22952</v>
      </c>
      <c r="G46" s="14" t="n">
        <v>22952</v>
      </c>
      <c r="H46" s="14" t="n"/>
      <c r="I46" s="10">
        <f>SUM(C46:H46)</f>
        <v/>
      </c>
      <c r="J46" s="41">
        <f>'大日産業（本社）_上期_7-12月'!I56</f>
        <v/>
      </c>
      <c r="K46" s="42">
        <f>I46+J46</f>
        <v/>
      </c>
    </row>
    <row r="47" ht="13" customHeight="1">
      <c r="A47" s="8" t="inlineStr"/>
      <c r="B47" s="8" t="inlineStr">
        <is>
          <t xml:space="preserve">  リコー（サイボーズ）</t>
        </is>
      </c>
      <c r="C47" s="14" t="n">
        <v>6600</v>
      </c>
      <c r="D47" s="14" t="n">
        <v>6600</v>
      </c>
      <c r="E47" s="14" t="n">
        <v>6600</v>
      </c>
      <c r="F47" s="14" t="n">
        <v>6600</v>
      </c>
      <c r="G47" s="14" t="n">
        <v>6600</v>
      </c>
      <c r="H47" s="14" t="n"/>
      <c r="I47" s="10">
        <f>SUM(C47:H47)</f>
        <v/>
      </c>
      <c r="J47" s="41">
        <f>'大日産業（本社）_上期_7-12月'!I57</f>
        <v/>
      </c>
      <c r="K47" s="42">
        <f>I47+J47</f>
        <v/>
      </c>
    </row>
    <row r="48" ht="13" customHeight="1">
      <c r="A48" s="8" t="inlineStr"/>
      <c r="B48" s="8" t="inlineStr">
        <is>
          <t xml:space="preserve">  中日新聞　日浦新聞店/タキ新聞店</t>
        </is>
      </c>
      <c r="C48" s="14" t="n">
        <v>3950</v>
      </c>
      <c r="D48" s="14" t="n">
        <v>3950</v>
      </c>
      <c r="E48" s="14" t="n">
        <v>3950</v>
      </c>
      <c r="F48" s="14" t="n">
        <v>3950</v>
      </c>
      <c r="G48" s="14" t="n">
        <v>3950</v>
      </c>
      <c r="H48" s="14" t="n"/>
      <c r="I48" s="10">
        <f>SUM(C48:H48)</f>
        <v/>
      </c>
      <c r="J48" s="41">
        <f>'大日産業（本社）_上期_7-12月'!I58</f>
        <v/>
      </c>
      <c r="K48" s="42">
        <f>I48+J48</f>
        <v/>
      </c>
    </row>
    <row r="49" ht="13" customHeight="1">
      <c r="A49" s="8" t="inlineStr"/>
      <c r="B49" s="8" t="inlineStr">
        <is>
          <t xml:space="preserve">  電子契約BANK</t>
        </is>
      </c>
      <c r="C49" s="14" t="n">
        <v>5480</v>
      </c>
      <c r="D49" s="14" t="n">
        <v>5480</v>
      </c>
      <c r="E49" s="14" t="n">
        <v>5480</v>
      </c>
      <c r="F49" s="14" t="n">
        <v>5480</v>
      </c>
      <c r="G49" s="14" t="n">
        <v>5480</v>
      </c>
      <c r="H49" s="14" t="n"/>
      <c r="I49" s="10">
        <f>SUM(C49:H49)</f>
        <v/>
      </c>
      <c r="J49" s="41">
        <f>'大日産業（本社）_上期_7-12月'!I59</f>
        <v/>
      </c>
      <c r="K49" s="42">
        <f>I49+J49</f>
        <v/>
      </c>
    </row>
    <row r="50" ht="13" customHeight="1">
      <c r="A50" s="8" t="inlineStr">
        <is>
          <t>23</t>
        </is>
      </c>
      <c r="B50" s="8" t="inlineStr">
        <is>
          <t xml:space="preserve">  位田会計</t>
        </is>
      </c>
      <c r="C50" s="9" t="n">
        <v>36300</v>
      </c>
      <c r="D50" s="9" t="n">
        <v>149600</v>
      </c>
      <c r="E50" s="9" t="n">
        <v>26300</v>
      </c>
      <c r="F50" s="9" t="n">
        <v>36300</v>
      </c>
      <c r="G50" s="9" t="n"/>
      <c r="H50" s="9" t="n"/>
      <c r="I50" s="10">
        <f>SUM(C50:H50)</f>
        <v/>
      </c>
      <c r="J50" s="41">
        <f>'大日産業（本社）_上期_7-12月'!I54</f>
        <v/>
      </c>
      <c r="K50" s="42">
        <f>I50+J50</f>
        <v/>
      </c>
    </row>
    <row r="51" ht="1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3" t="n"/>
      <c r="J51" s="43" t="n"/>
      <c r="K51" s="44" t="n"/>
    </row>
    <row r="52" ht="14" customHeight="1">
      <c r="A52" s="4" t="n"/>
      <c r="B52" s="5" t="inlineStr">
        <is>
          <t>▶ 保険料</t>
        </is>
      </c>
      <c r="C52" s="6">
        <f>SUM(C53:C58)</f>
        <v/>
      </c>
      <c r="D52" s="6">
        <f>SUM(D53:D58)</f>
        <v/>
      </c>
      <c r="E52" s="6">
        <f>SUM(E53:E58)</f>
        <v/>
      </c>
      <c r="F52" s="6">
        <f>SUM(F53:F58)</f>
        <v/>
      </c>
      <c r="G52" s="6">
        <f>SUM(G53:G58)</f>
        <v/>
      </c>
      <c r="H52" s="6">
        <f>SUM(H53:H58)</f>
        <v/>
      </c>
      <c r="I52" s="7">
        <f>SUM(I53:I58)</f>
        <v/>
      </c>
      <c r="J52" s="39">
        <f>SUM(J53:J58)</f>
        <v/>
      </c>
      <c r="K52" s="40">
        <f>SUM(K53:K58)</f>
        <v/>
      </c>
    </row>
    <row r="53" ht="13" customHeight="1">
      <c r="A53" s="8" t="inlineStr">
        <is>
          <t>27</t>
        </is>
      </c>
      <c r="B53" s="8" t="inlineStr">
        <is>
          <t xml:space="preserve">  日本生命</t>
        </is>
      </c>
      <c r="C53" s="14" t="n">
        <v>37816</v>
      </c>
      <c r="D53" s="14" t="n">
        <v>37816</v>
      </c>
      <c r="E53" s="14" t="n">
        <v>37816</v>
      </c>
      <c r="F53" s="14" t="n">
        <v>37816</v>
      </c>
      <c r="G53" s="14" t="n">
        <v>37816</v>
      </c>
      <c r="H53" s="14" t="n"/>
      <c r="I53" s="10">
        <f>SUM(C53:H53)</f>
        <v/>
      </c>
      <c r="J53" s="41">
        <f>'大日産業（本社）_上期_7-12月'!I63</f>
        <v/>
      </c>
      <c r="K53" s="42">
        <f>I53+J53</f>
        <v/>
      </c>
    </row>
    <row r="54" ht="13" customHeight="1">
      <c r="A54" s="8" t="inlineStr">
        <is>
          <t>27</t>
        </is>
      </c>
      <c r="B54" s="8" t="inlineStr">
        <is>
          <t xml:space="preserve">  メットライフ生命</t>
        </is>
      </c>
      <c r="C54" s="14" t="n">
        <v>14660</v>
      </c>
      <c r="D54" s="14" t="n">
        <v>14660</v>
      </c>
      <c r="E54" s="14" t="n">
        <v>14660</v>
      </c>
      <c r="F54" s="14" t="n">
        <v>14660</v>
      </c>
      <c r="G54" s="14" t="n">
        <v>14660</v>
      </c>
      <c r="H54" s="14" t="n"/>
      <c r="I54" s="10">
        <f>SUM(C54:H54)</f>
        <v/>
      </c>
      <c r="J54" s="41">
        <f>'大日産業（本社）_上期_7-12月'!I64</f>
        <v/>
      </c>
      <c r="K54" s="42">
        <f>I54+J54</f>
        <v/>
      </c>
    </row>
    <row r="55" ht="13" customHeight="1">
      <c r="A55" s="8" t="inlineStr">
        <is>
          <t>26</t>
        </is>
      </c>
      <c r="B55" s="8" t="inlineStr">
        <is>
          <t xml:space="preserve">  自動車保険（月払い）　三井住友海上</t>
        </is>
      </c>
      <c r="C55" s="9" t="n">
        <v>111770</v>
      </c>
      <c r="D55" s="9" t="n">
        <v>109210</v>
      </c>
      <c r="E55" s="9" t="n">
        <v>80670</v>
      </c>
      <c r="F55" s="9" t="n">
        <v>109210</v>
      </c>
      <c r="G55" s="9" t="n">
        <v>109210</v>
      </c>
      <c r="H55" s="9" t="n"/>
      <c r="I55" s="10">
        <f>SUM(C55:H55)</f>
        <v/>
      </c>
      <c r="J55" s="41">
        <f>'大日産業（本社）_上期_7-12月'!I65</f>
        <v/>
      </c>
      <c r="K55" s="42">
        <f>I55+J55</f>
        <v/>
      </c>
    </row>
    <row r="56" ht="13" customHeight="1">
      <c r="A56" s="8" t="inlineStr">
        <is>
          <t>5</t>
        </is>
      </c>
      <c r="B56" s="8" t="inlineStr">
        <is>
          <t xml:space="preserve">  安心財団</t>
        </is>
      </c>
      <c r="C56" s="14" t="n">
        <v>4000</v>
      </c>
      <c r="D56" s="14" t="n">
        <v>4000</v>
      </c>
      <c r="E56" s="14" t="n">
        <v>4000</v>
      </c>
      <c r="F56" s="14" t="n">
        <v>4000</v>
      </c>
      <c r="G56" s="14" t="n">
        <v>4000</v>
      </c>
      <c r="H56" s="14" t="n"/>
      <c r="I56" s="10">
        <f>SUM(C56:H56)</f>
        <v/>
      </c>
      <c r="J56" s="41">
        <f>'大日産業（本社）_上期_7-12月'!I66</f>
        <v/>
      </c>
      <c r="K56" s="42">
        <f>I56+J56</f>
        <v/>
      </c>
    </row>
    <row r="57" ht="13" customHeight="1">
      <c r="A57" s="8" t="inlineStr"/>
      <c r="B57" s="8" t="inlineStr">
        <is>
          <t xml:space="preserve">  本社＆EURO　年払い　10月300.900</t>
        </is>
      </c>
      <c r="C57" s="9" t="n"/>
      <c r="D57" s="9" t="n"/>
      <c r="E57" s="9" t="n"/>
      <c r="F57" s="9" t="n"/>
      <c r="G57" s="9" t="n"/>
      <c r="H57" s="9" t="n"/>
      <c r="I57" s="10">
        <f>SUM(C57:H57)</f>
        <v/>
      </c>
      <c r="J57" s="41">
        <f>'大日産業（本社）_上期_7-12月'!I67</f>
        <v/>
      </c>
      <c r="K57" s="42">
        <f>I57+J57</f>
        <v/>
      </c>
    </row>
    <row r="58" ht="12" customHeight="1">
      <c r="A58" s="11" t="n"/>
      <c r="B58" s="11" t="n"/>
      <c r="C58" s="12" t="n"/>
      <c r="D58" s="12" t="n"/>
      <c r="E58" s="12" t="n"/>
      <c r="F58" s="12" t="n"/>
      <c r="G58" s="12" t="n"/>
      <c r="H58" s="12" t="n"/>
      <c r="I58" s="13" t="n"/>
      <c r="J58" s="43" t="n"/>
      <c r="K58" s="44" t="n"/>
    </row>
    <row r="59" ht="14" customHeight="1">
      <c r="A59" s="4" t="n"/>
      <c r="B59" s="5" t="inlineStr">
        <is>
          <t>▶ リース料</t>
        </is>
      </c>
      <c r="C59" s="6">
        <f>SUM(C60:C66)</f>
        <v/>
      </c>
      <c r="D59" s="6">
        <f>SUM(D60:D66)</f>
        <v/>
      </c>
      <c r="E59" s="6">
        <f>SUM(E60:E66)</f>
        <v/>
      </c>
      <c r="F59" s="6">
        <f>SUM(F60:F66)</f>
        <v/>
      </c>
      <c r="G59" s="6">
        <f>SUM(G60:G66)</f>
        <v/>
      </c>
      <c r="H59" s="6">
        <f>SUM(H60:H66)</f>
        <v/>
      </c>
      <c r="I59" s="7">
        <f>SUM(I60:I66)</f>
        <v/>
      </c>
      <c r="J59" s="39">
        <f>SUM(J60:J66)</f>
        <v/>
      </c>
      <c r="K59" s="40">
        <f>SUM(K60:K66)</f>
        <v/>
      </c>
    </row>
    <row r="60" ht="13" customHeight="1">
      <c r="A60" s="8" t="inlineStr"/>
      <c r="B60" s="8" t="inlineStr">
        <is>
          <t xml:space="preserve">  しんきんリーストレーニング器具北方</t>
        </is>
      </c>
      <c r="C60" s="14" t="n">
        <v>248400</v>
      </c>
      <c r="D60" s="14" t="n">
        <v>248400</v>
      </c>
      <c r="E60" s="14" t="n">
        <v>248400</v>
      </c>
      <c r="F60" s="14" t="n">
        <v>248400</v>
      </c>
      <c r="G60" s="14" t="n">
        <v>248400</v>
      </c>
      <c r="H60" s="14" t="n"/>
      <c r="I60" s="10">
        <f>SUM(C60:H60)</f>
        <v/>
      </c>
      <c r="J60" s="41">
        <f>'大日産業（本社）_上期_7-12月'!I70</f>
        <v/>
      </c>
      <c r="K60" s="42">
        <f>I60+J60</f>
        <v/>
      </c>
    </row>
    <row r="61" ht="13" customHeight="1">
      <c r="A61" s="8" t="inlineStr"/>
      <c r="B61" s="8" t="inlineStr">
        <is>
          <t xml:space="preserve">  しんきんリーストレーニング器具羽島北</t>
        </is>
      </c>
      <c r="C61" s="14" t="n">
        <v>248400</v>
      </c>
      <c r="D61" s="14" t="n">
        <v>248400</v>
      </c>
      <c r="E61" s="14" t="n">
        <v>248400</v>
      </c>
      <c r="F61" s="14" t="n">
        <v>248400</v>
      </c>
      <c r="G61" s="14" t="n">
        <v>248400</v>
      </c>
      <c r="H61" s="14" t="n"/>
      <c r="I61" s="10">
        <f>SUM(C61:H61)</f>
        <v/>
      </c>
      <c r="J61" s="41">
        <f>'大日産業（本社）_上期_7-12月'!I71</f>
        <v/>
      </c>
      <c r="K61" s="42">
        <f>I61+J61</f>
        <v/>
      </c>
    </row>
    <row r="62" ht="13" customHeight="1">
      <c r="A62" s="8" t="inlineStr">
        <is>
          <t>22</t>
        </is>
      </c>
      <c r="B62" s="8" t="inlineStr">
        <is>
          <t xml:space="preserve">  しんきんリース　ｺﾋﾟｰ機　本社</t>
        </is>
      </c>
      <c r="C62" s="14" t="n">
        <v>25520</v>
      </c>
      <c r="D62" s="14" t="n">
        <v>25520</v>
      </c>
      <c r="E62" s="14" t="n">
        <v>25520</v>
      </c>
      <c r="F62" s="14" t="n">
        <v>25520</v>
      </c>
      <c r="G62" s="14" t="n">
        <v>25520</v>
      </c>
      <c r="H62" s="14" t="n"/>
      <c r="I62" s="10">
        <f>SUM(C62:H62)</f>
        <v/>
      </c>
      <c r="J62" s="41">
        <f>'大日産業（本社）_上期_7-12月'!I72</f>
        <v/>
      </c>
      <c r="K62" s="42">
        <f>I62+J62</f>
        <v/>
      </c>
    </row>
    <row r="63" ht="13" customHeight="1">
      <c r="A63" s="8" t="inlineStr">
        <is>
          <t>25</t>
        </is>
      </c>
      <c r="B63" s="8" t="inlineStr">
        <is>
          <t xml:space="preserve">  NTT 電話機</t>
        </is>
      </c>
      <c r="C63" s="14" t="n">
        <v>14256</v>
      </c>
      <c r="D63" s="14" t="n">
        <v>14256</v>
      </c>
      <c r="E63" s="14" t="n">
        <v>14256</v>
      </c>
      <c r="F63" s="14" t="n">
        <v>14256</v>
      </c>
      <c r="G63" s="14" t="n">
        <v>14256</v>
      </c>
      <c r="H63" s="14" t="n"/>
      <c r="I63" s="10">
        <f>SUM(C63:H63)</f>
        <v/>
      </c>
      <c r="J63" s="41">
        <f>'大日産業（本社）_上期_7-12月'!I73</f>
        <v/>
      </c>
      <c r="K63" s="42">
        <f>I63+J63</f>
        <v/>
      </c>
    </row>
    <row r="64" ht="13" customHeight="1">
      <c r="A64" s="8" t="inlineStr"/>
      <c r="B64" s="8" t="inlineStr">
        <is>
          <t xml:space="preserve">  オリコリース　　日産フーガR8.4</t>
        </is>
      </c>
      <c r="C64" s="14" t="n">
        <v>81000</v>
      </c>
      <c r="D64" s="14" t="n">
        <v>81000</v>
      </c>
      <c r="E64" s="14" t="n">
        <v>81000</v>
      </c>
      <c r="F64" s="14" t="n">
        <v>81000</v>
      </c>
      <c r="G64" s="14" t="n">
        <v>81000</v>
      </c>
      <c r="H64" s="14" t="n"/>
      <c r="I64" s="10">
        <f>SUM(C64:H64)</f>
        <v/>
      </c>
      <c r="J64" s="41">
        <f>'大日産業（本社）_上期_7-12月'!I77</f>
        <v/>
      </c>
      <c r="K64" s="42">
        <f>I64+J64</f>
        <v/>
      </c>
    </row>
    <row r="65" ht="13" customHeight="1">
      <c r="A65" s="8" t="inlineStr"/>
      <c r="B65" s="8" t="inlineStr">
        <is>
          <t xml:space="preserve">  トヨタフアイナンス　（プリウス）R8.1</t>
        </is>
      </c>
      <c r="C65" s="9" t="n">
        <v>1004020</v>
      </c>
      <c r="D65" s="9" t="n"/>
      <c r="E65" s="9" t="n"/>
      <c r="F65" s="9" t="n"/>
      <c r="G65" s="9" t="n"/>
      <c r="H65" s="9" t="n"/>
      <c r="I65" s="10">
        <f>SUM(C65:H65)</f>
        <v/>
      </c>
      <c r="J65" s="41">
        <f>'大日産業（本社）_上期_7-12月'!I75</f>
        <v/>
      </c>
      <c r="K65" s="42">
        <f>I65+J65</f>
        <v/>
      </c>
    </row>
    <row r="66" ht="12" customHeight="1">
      <c r="A66" s="11" t="n"/>
      <c r="B66" s="11" t="n"/>
      <c r="C66" s="12" t="n"/>
      <c r="D66" s="12" t="n"/>
      <c r="E66" s="12" t="n"/>
      <c r="F66" s="12" t="n"/>
      <c r="G66" s="12" t="n"/>
      <c r="H66" s="12" t="n"/>
      <c r="I66" s="13" t="n"/>
      <c r="J66" s="43" t="n"/>
      <c r="K66" s="44" t="n"/>
    </row>
    <row r="67" ht="14" customHeight="1">
      <c r="A67" s="4" t="n"/>
      <c r="B67" s="5" t="inlineStr">
        <is>
          <t>▶ 通信費</t>
        </is>
      </c>
      <c r="C67" s="6">
        <f>SUM(C68:C74)</f>
        <v/>
      </c>
      <c r="D67" s="6">
        <f>SUM(D68:D74)</f>
        <v/>
      </c>
      <c r="E67" s="6">
        <f>SUM(E68:E74)</f>
        <v/>
      </c>
      <c r="F67" s="6">
        <f>SUM(F68:F74)</f>
        <v/>
      </c>
      <c r="G67" s="6">
        <f>SUM(G68:G74)</f>
        <v/>
      </c>
      <c r="H67" s="6">
        <f>SUM(H68:H74)</f>
        <v/>
      </c>
      <c r="I67" s="7">
        <f>SUM(I68:I74)</f>
        <v/>
      </c>
      <c r="J67" s="39">
        <f>SUM(J68:J74)</f>
        <v/>
      </c>
      <c r="K67" s="40">
        <f>SUM(K68:K74)</f>
        <v/>
      </c>
    </row>
    <row r="68" ht="13" customHeight="1">
      <c r="A68" s="8" t="inlineStr"/>
      <c r="B68" s="8" t="inlineStr">
        <is>
          <t xml:space="preserve">  テレマーカー　TM保守</t>
        </is>
      </c>
      <c r="C68" s="14" t="n">
        <v>1100</v>
      </c>
      <c r="D68" s="14" t="n">
        <v>1100</v>
      </c>
      <c r="E68" s="14" t="n">
        <v>1100</v>
      </c>
      <c r="F68" s="14" t="n">
        <v>1100</v>
      </c>
      <c r="G68" s="14" t="n">
        <v>1100</v>
      </c>
      <c r="H68" s="14" t="n"/>
      <c r="I68" s="10">
        <f>SUM(C68:H68)</f>
        <v/>
      </c>
      <c r="J68" s="41">
        <f>'大日産業（本社）_上期_7-12月'!I80</f>
        <v/>
      </c>
      <c r="K68" s="42">
        <f>I68+J68</f>
        <v/>
      </c>
    </row>
    <row r="69" ht="13" customHeight="1">
      <c r="A69" s="8" t="inlineStr"/>
      <c r="B69" s="8" t="inlineStr">
        <is>
          <t xml:space="preserve">  本社ＩＰ電話</t>
        </is>
      </c>
      <c r="C69" s="14" t="n">
        <v>2500</v>
      </c>
      <c r="D69" s="14" t="n">
        <v>2500</v>
      </c>
      <c r="E69" s="14" t="n">
        <v>2500</v>
      </c>
      <c r="F69" s="14" t="n">
        <v>2500</v>
      </c>
      <c r="G69" s="14" t="n">
        <v>2500</v>
      </c>
      <c r="H69" s="14" t="n"/>
      <c r="I69" s="10">
        <f>SUM(C69:H69)</f>
        <v/>
      </c>
      <c r="J69" s="41">
        <f>'大日産業（本社）_上期_7-12月'!I83</f>
        <v/>
      </c>
      <c r="K69" s="42">
        <f>I69+J69</f>
        <v/>
      </c>
    </row>
    <row r="70" ht="13" customHeight="1">
      <c r="A70" s="8" t="inlineStr"/>
      <c r="B70" s="8" t="inlineStr">
        <is>
          <t xml:space="preserve">  本社Wi-Fi　ソフトバンク</t>
        </is>
      </c>
      <c r="C70" s="14" t="n">
        <v>5500</v>
      </c>
      <c r="D70" s="14" t="n">
        <v>5500</v>
      </c>
      <c r="E70" s="14" t="n">
        <v>5500</v>
      </c>
      <c r="F70" s="14" t="n">
        <v>5500</v>
      </c>
      <c r="G70" s="14" t="n">
        <v>5500</v>
      </c>
      <c r="H70" s="14" t="n"/>
      <c r="I70" s="10">
        <f>SUM(C70:H70)</f>
        <v/>
      </c>
      <c r="J70" s="41">
        <f>'大日産業（本社）_上期_7-12月'!I84</f>
        <v/>
      </c>
      <c r="K70" s="42">
        <f>I70+J70</f>
        <v/>
      </c>
    </row>
    <row r="71" ht="13" customHeight="1">
      <c r="A71" s="8" t="inlineStr">
        <is>
          <t>27</t>
        </is>
      </c>
      <c r="B71" s="8" t="inlineStr">
        <is>
          <t xml:space="preserve">  ｿﾌﾄﾊﾞﾝｸ</t>
        </is>
      </c>
      <c r="C71" s="9" t="n">
        <v>63463</v>
      </c>
      <c r="D71" s="9" t="n">
        <v>63203</v>
      </c>
      <c r="E71" s="9" t="n">
        <v>63203</v>
      </c>
      <c r="F71" s="9" t="n">
        <v>62807</v>
      </c>
      <c r="G71" s="9" t="n"/>
      <c r="H71" s="9" t="n"/>
      <c r="I71" s="10">
        <f>SUM(C71:H71)</f>
        <v/>
      </c>
      <c r="J71" s="41">
        <f>'大日産業（本社）_上期_7-12月'!I81</f>
        <v/>
      </c>
      <c r="K71" s="42">
        <f>I71+J71</f>
        <v/>
      </c>
    </row>
    <row r="72" ht="13" customHeight="1">
      <c r="A72" s="8" t="inlineStr"/>
      <c r="B72" s="8" t="inlineStr">
        <is>
          <t xml:space="preserve">  NTT(本社）</t>
        </is>
      </c>
      <c r="C72" s="9" t="n">
        <v>14700</v>
      </c>
      <c r="D72" s="9" t="n">
        <v>14398</v>
      </c>
      <c r="E72" s="9" t="n">
        <v>14363</v>
      </c>
      <c r="F72" s="9" t="n">
        <v>14729</v>
      </c>
      <c r="G72" s="9" t="n"/>
      <c r="H72" s="9" t="n"/>
      <c r="I72" s="10">
        <f>SUM(C72:H72)</f>
        <v/>
      </c>
      <c r="J72" s="41">
        <f>'大日産業（本社）_上期_7-12月'!I82</f>
        <v/>
      </c>
      <c r="K72" s="42">
        <f>I72+J72</f>
        <v/>
      </c>
    </row>
    <row r="73" ht="13" customHeight="1">
      <c r="A73" s="8" t="inlineStr"/>
      <c r="B73" s="8" t="inlineStr">
        <is>
          <t xml:space="preserve">  ａｕ　社長</t>
        </is>
      </c>
      <c r="C73" s="9" t="n">
        <v>5680</v>
      </c>
      <c r="D73" s="9" t="n">
        <v>5679</v>
      </c>
      <c r="E73" s="9" t="n">
        <v>5679</v>
      </c>
      <c r="F73" s="9" t="n">
        <v>5681</v>
      </c>
      <c r="G73" s="9" t="n"/>
      <c r="H73" s="9" t="n"/>
      <c r="I73" s="10">
        <f>SUM(C73:H73)</f>
        <v/>
      </c>
      <c r="J73" s="41">
        <f>'大日産業（本社）_上期_7-12月'!I85</f>
        <v/>
      </c>
      <c r="K73" s="42">
        <f>I73+J73</f>
        <v/>
      </c>
    </row>
    <row r="74" ht="12" customHeight="1">
      <c r="A74" s="11" t="n"/>
      <c r="B74" s="11" t="n"/>
      <c r="C74" s="12" t="n"/>
      <c r="D74" s="12" t="n"/>
      <c r="E74" s="12" t="n"/>
      <c r="F74" s="12" t="n"/>
      <c r="G74" s="12" t="n"/>
      <c r="H74" s="12" t="n"/>
      <c r="I74" s="13" t="n"/>
      <c r="J74" s="43" t="n"/>
      <c r="K74" s="44" t="n"/>
    </row>
    <row r="75" ht="14" customHeight="1">
      <c r="A75" s="4" t="n"/>
      <c r="B75" s="5" t="inlineStr">
        <is>
          <t>▶ 水道光熱費</t>
        </is>
      </c>
      <c r="C75" s="6">
        <f>SUM(C76:C79)</f>
        <v/>
      </c>
      <c r="D75" s="6">
        <f>SUM(D76:D79)</f>
        <v/>
      </c>
      <c r="E75" s="6">
        <f>SUM(E76:E79)</f>
        <v/>
      </c>
      <c r="F75" s="6">
        <f>SUM(F76:F79)</f>
        <v/>
      </c>
      <c r="G75" s="6">
        <f>SUM(G76:G79)</f>
        <v/>
      </c>
      <c r="H75" s="6">
        <f>SUM(H76:H79)</f>
        <v/>
      </c>
      <c r="I75" s="7">
        <f>SUM(I76:I79)</f>
        <v/>
      </c>
      <c r="J75" s="39">
        <f>SUM(J76:J79)</f>
        <v/>
      </c>
      <c r="K75" s="40">
        <f>SUM(K76:K79)</f>
        <v/>
      </c>
    </row>
    <row r="76" ht="13" customHeight="1">
      <c r="A76" s="8" t="inlineStr"/>
      <c r="B76" s="8" t="inlineStr">
        <is>
          <t xml:space="preserve">  東邦液化ｶﾞｽ 本社</t>
        </is>
      </c>
      <c r="C76" s="14" t="n">
        <v>1500</v>
      </c>
      <c r="D76" s="14" t="n">
        <v>1500</v>
      </c>
      <c r="E76" s="14" t="n">
        <v>1500</v>
      </c>
      <c r="F76" s="14" t="n">
        <v>1500</v>
      </c>
      <c r="G76" s="14" t="n">
        <v>1500</v>
      </c>
      <c r="H76" s="14" t="n"/>
      <c r="I76" s="10">
        <f>SUM(C76:H76)</f>
        <v/>
      </c>
      <c r="J76" s="41">
        <f>'大日産業（本社）_上期_7-12月'!I88</f>
        <v/>
      </c>
      <c r="K76" s="42">
        <f>I76+J76</f>
        <v/>
      </c>
    </row>
    <row r="77" ht="13" customHeight="1">
      <c r="A77" s="8" t="inlineStr"/>
      <c r="B77" s="8" t="inlineStr">
        <is>
          <t xml:space="preserve">  電気料金（本社）</t>
        </is>
      </c>
      <c r="C77" s="9" t="n">
        <v>59019</v>
      </c>
      <c r="D77" s="9" t="n">
        <v>5793</v>
      </c>
      <c r="E77" s="9" t="n">
        <v>41780</v>
      </c>
      <c r="F77" s="9" t="n"/>
      <c r="G77" s="9" t="n"/>
      <c r="H77" s="9" t="n"/>
      <c r="I77" s="10">
        <f>SUM(C77:H77)</f>
        <v/>
      </c>
      <c r="J77" s="41">
        <f>'大日産業（本社）_上期_7-12月'!I89</f>
        <v/>
      </c>
      <c r="K77" s="42">
        <f>I77+J77</f>
        <v/>
      </c>
    </row>
    <row r="78" ht="13" customHeight="1">
      <c r="A78" s="8" t="inlineStr">
        <is>
          <t>31</t>
        </is>
      </c>
      <c r="B78" s="8" t="inlineStr">
        <is>
          <t xml:space="preserve">  水道料(本社）偶数月</t>
        </is>
      </c>
      <c r="C78" s="9" t="n"/>
      <c r="D78" s="9" t="n">
        <v>1892</v>
      </c>
      <c r="E78" s="9" t="n"/>
      <c r="F78" s="9" t="n"/>
      <c r="G78" s="9" t="n"/>
      <c r="H78" s="9" t="n"/>
      <c r="I78" s="10">
        <f>SUM(C78:H78)</f>
        <v/>
      </c>
      <c r="J78" s="41">
        <f>'大日産業（本社）_上期_7-12月'!I90</f>
        <v/>
      </c>
      <c r="K78" s="42">
        <f>I78+J78</f>
        <v/>
      </c>
    </row>
    <row r="79" ht="1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3" t="n"/>
      <c r="J79" s="43" t="n"/>
      <c r="K79" s="44" t="n"/>
    </row>
    <row r="80" ht="14" customHeight="1">
      <c r="A80" s="4" t="n"/>
      <c r="B80" s="5" t="inlineStr">
        <is>
          <t>▶ 月末支払い</t>
        </is>
      </c>
      <c r="C80" s="6">
        <f>SUM(C81:C89)</f>
        <v/>
      </c>
      <c r="D80" s="6">
        <f>SUM(D81:D89)</f>
        <v/>
      </c>
      <c r="E80" s="6">
        <f>SUM(E81:E89)</f>
        <v/>
      </c>
      <c r="F80" s="6">
        <f>SUM(F81:F89)</f>
        <v/>
      </c>
      <c r="G80" s="6">
        <f>SUM(G81:G89)</f>
        <v/>
      </c>
      <c r="H80" s="6">
        <f>SUM(H81:H89)</f>
        <v/>
      </c>
      <c r="I80" s="7">
        <f>SUM(I81:I89)</f>
        <v/>
      </c>
      <c r="J80" s="39">
        <f>SUM(J81:J89)</f>
        <v/>
      </c>
      <c r="K80" s="40">
        <f>SUM(K81:K89)</f>
        <v/>
      </c>
    </row>
    <row r="81" ht="13" customHeight="1">
      <c r="A81" s="8" t="inlineStr">
        <is>
          <t>31</t>
        </is>
      </c>
      <c r="B81" s="8" t="inlineStr">
        <is>
          <t xml:space="preserve">  桑名セブン駐車場地代（1件）</t>
        </is>
      </c>
      <c r="C81" s="14" t="n">
        <v>215250</v>
      </c>
      <c r="D81" s="14" t="n">
        <v>215250</v>
      </c>
      <c r="E81" s="14" t="n">
        <v>215250</v>
      </c>
      <c r="F81" s="14" t="n">
        <v>215250</v>
      </c>
      <c r="G81" s="14" t="n">
        <v>215250</v>
      </c>
      <c r="H81" s="14" t="n"/>
      <c r="I81" s="10">
        <f>SUM(C81:H81)</f>
        <v/>
      </c>
      <c r="J81" s="41">
        <f>'大日産業（本社）_上期_7-12月'!I93</f>
        <v/>
      </c>
      <c r="K81" s="42">
        <f>I81+J81</f>
        <v/>
      </c>
    </row>
    <row r="82" ht="13" customHeight="1">
      <c r="A82" s="8" t="inlineStr">
        <is>
          <t>31</t>
        </is>
      </c>
      <c r="B82" s="8" t="inlineStr">
        <is>
          <t xml:space="preserve">  羽島　駐車場地代（13件）</t>
        </is>
      </c>
      <c r="C82" s="14" t="n">
        <v>1681487</v>
      </c>
      <c r="D82" s="14" t="n">
        <v>1681487</v>
      </c>
      <c r="E82" s="14" t="n">
        <v>1681487</v>
      </c>
      <c r="F82" s="14" t="n">
        <v>1681487</v>
      </c>
      <c r="G82" s="14" t="n">
        <v>1681487</v>
      </c>
      <c r="H82" s="14" t="n"/>
      <c r="I82" s="10">
        <f>SUM(C82:H82)</f>
        <v/>
      </c>
      <c r="J82" s="41">
        <f>'大日産業（本社）_上期_7-12月'!I94</f>
        <v/>
      </c>
      <c r="K82" s="42">
        <f>I82+J82</f>
        <v/>
      </c>
    </row>
    <row r="83" ht="13" customHeight="1">
      <c r="A83" s="8" t="inlineStr"/>
      <c r="B83" s="8" t="inlineStr">
        <is>
          <t xml:space="preserve">  振込手数料</t>
        </is>
      </c>
      <c r="C83" s="14" t="n">
        <v>9240</v>
      </c>
      <c r="D83" s="14" t="n">
        <v>9240</v>
      </c>
      <c r="E83" s="14" t="n">
        <v>9240</v>
      </c>
      <c r="F83" s="14" t="n">
        <v>9240</v>
      </c>
      <c r="G83" s="14" t="n">
        <v>9240</v>
      </c>
      <c r="H83" s="14" t="n"/>
      <c r="I83" s="10">
        <f>SUM(C83:H83)</f>
        <v/>
      </c>
      <c r="J83" s="41">
        <f>'大日産業（本社）_上期_7-12月'!I95</f>
        <v/>
      </c>
      <c r="K83" s="42">
        <f>I83+J83</f>
        <v/>
      </c>
    </row>
    <row r="84" ht="13" customHeight="1">
      <c r="A84" s="8" t="inlineStr"/>
      <c r="B84" s="8" t="inlineStr">
        <is>
          <t xml:space="preserve">  固定資産(840000円）年12回</t>
        </is>
      </c>
      <c r="C84" s="14" t="n">
        <v>840000</v>
      </c>
      <c r="D84" s="14" t="n">
        <v>840000</v>
      </c>
      <c r="E84" s="14" t="n">
        <v>840000</v>
      </c>
      <c r="F84" s="14" t="n">
        <v>840000</v>
      </c>
      <c r="G84" s="14" t="n">
        <v>840000</v>
      </c>
      <c r="H84" s="14" t="n"/>
      <c r="I84" s="10">
        <f>SUM(C84:H84)</f>
        <v/>
      </c>
      <c r="J84" s="41">
        <f>'大日産業（本社）_上期_7-12月'!I96</f>
        <v/>
      </c>
      <c r="K84" s="42">
        <f>I84+J84</f>
        <v/>
      </c>
    </row>
    <row r="85" ht="13" customHeight="1">
      <c r="A85" s="8" t="inlineStr">
        <is>
          <t>28</t>
        </is>
      </c>
      <c r="B85" s="8" t="inlineStr">
        <is>
          <t xml:space="preserve">  月末振込</t>
        </is>
      </c>
      <c r="C85" s="9" t="n">
        <v>180074</v>
      </c>
      <c r="D85" s="9" t="n">
        <v>197762</v>
      </c>
      <c r="E85" s="9" t="n">
        <v>209242</v>
      </c>
      <c r="F85" s="9" t="n">
        <v>66750</v>
      </c>
      <c r="G85" s="9" t="n"/>
      <c r="H85" s="9" t="n"/>
      <c r="I85" s="10">
        <f>SUM(C85:H85)</f>
        <v/>
      </c>
      <c r="J85" s="41">
        <f>'大日産業（本社）_上期_7-12月'!I97</f>
        <v/>
      </c>
      <c r="K85" s="42">
        <f>I85+J85</f>
        <v/>
      </c>
    </row>
    <row r="86" ht="13" customHeight="1">
      <c r="A86" s="8" t="inlineStr">
        <is>
          <t>15</t>
        </is>
      </c>
      <c r="B86" s="8" t="inlineStr">
        <is>
          <t xml:space="preserve">  予定納税（1回〜3回）</t>
        </is>
      </c>
      <c r="C86" s="9" t="n"/>
      <c r="D86" s="9" t="n">
        <v>1564100</v>
      </c>
      <c r="E86" s="9" t="n">
        <v>1500000</v>
      </c>
      <c r="F86" s="9" t="n">
        <v>1505508</v>
      </c>
      <c r="G86" s="9" t="n">
        <v>1500000</v>
      </c>
      <c r="H86" s="9" t="n"/>
      <c r="I86" s="10">
        <f>SUM(C86:H86)</f>
        <v/>
      </c>
      <c r="J86" s="41">
        <f>'大日産業（本社）_上期_7-12月'!I98</f>
        <v/>
      </c>
      <c r="K86" s="42">
        <f>I86+J86</f>
        <v/>
      </c>
    </row>
    <row r="87" ht="13" customHeight="1">
      <c r="A87" s="8" t="inlineStr"/>
      <c r="B87" s="8" t="inlineStr">
        <is>
          <t xml:space="preserve">  狐穴固定資産（年1回4月）</t>
        </is>
      </c>
      <c r="C87" s="9" t="n"/>
      <c r="D87" s="9" t="n"/>
      <c r="E87" s="9" t="n"/>
      <c r="F87" s="9" t="n"/>
      <c r="G87" s="9" t="n"/>
      <c r="H87" s="9" t="n"/>
      <c r="I87" s="10">
        <f>SUM(C87:H87)</f>
        <v/>
      </c>
      <c r="J87" s="41">
        <f>'大日産業（本社）_上期_7-12月'!I101</f>
        <v/>
      </c>
      <c r="K87" s="42">
        <f>I87+J87</f>
        <v/>
      </c>
    </row>
    <row r="88" ht="13" customHeight="1">
      <c r="A88" s="8" t="inlineStr"/>
      <c r="B88" s="8" t="inlineStr">
        <is>
          <t xml:space="preserve">  桑名太陽光（年1回4月）</t>
        </is>
      </c>
      <c r="C88" s="9" t="n"/>
      <c r="D88" s="9" t="n"/>
      <c r="E88" s="9" t="n"/>
      <c r="F88" s="9" t="n"/>
      <c r="G88" s="9" t="n"/>
      <c r="H88" s="9" t="n"/>
      <c r="I88" s="10">
        <f>SUM(C88:H88)</f>
        <v/>
      </c>
      <c r="J88" s="41">
        <f>'大日産業（本社）_上期_7-12月'!I102</f>
        <v/>
      </c>
      <c r="K88" s="42">
        <f>I88+J88</f>
        <v/>
      </c>
    </row>
    <row r="89" ht="1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3" t="n"/>
      <c r="J89" s="43" t="n"/>
      <c r="K89" s="44" t="n"/>
    </row>
    <row r="90" ht="14" customHeight="1">
      <c r="A90" s="4" t="n"/>
      <c r="B90" s="5" t="inlineStr">
        <is>
          <t>▶ 年払い</t>
        </is>
      </c>
      <c r="C90" s="6">
        <f>SUM(C91:C97)</f>
        <v/>
      </c>
      <c r="D90" s="6">
        <f>SUM(D91:D97)</f>
        <v/>
      </c>
      <c r="E90" s="6">
        <f>SUM(E91:E97)</f>
        <v/>
      </c>
      <c r="F90" s="6">
        <f>SUM(F91:F97)</f>
        <v/>
      </c>
      <c r="G90" s="6">
        <f>SUM(G91:G97)</f>
        <v/>
      </c>
      <c r="H90" s="6">
        <f>SUM(H91:H97)</f>
        <v/>
      </c>
      <c r="I90" s="7">
        <f>SUM(I91:I97)</f>
        <v/>
      </c>
      <c r="J90" s="39">
        <f>SUM(J91:J97)</f>
        <v/>
      </c>
      <c r="K90" s="40">
        <f>SUM(K91:K97)</f>
        <v/>
      </c>
    </row>
    <row r="91" ht="13" customHeight="1">
      <c r="A91" s="8" t="inlineStr"/>
      <c r="B91" s="8" t="inlineStr">
        <is>
          <t xml:space="preserve">  ぎしん　羽島会　24,000　　毎年2月</t>
        </is>
      </c>
      <c r="C91" s="9" t="n"/>
      <c r="D91" s="9" t="n">
        <v>24000</v>
      </c>
      <c r="E91" s="9" t="n"/>
      <c r="F91" s="9" t="n"/>
      <c r="G91" s="9" t="n"/>
      <c r="H91" s="9" t="n"/>
      <c r="I91" s="10">
        <f>SUM(C91:H91)</f>
        <v/>
      </c>
      <c r="J91" s="41">
        <f>'大日産業（本社）_上期_7-12月'!I107</f>
        <v/>
      </c>
      <c r="K91" s="42">
        <f>I91+J91</f>
        <v/>
      </c>
    </row>
    <row r="92" ht="13" customHeight="1">
      <c r="A92" s="8" t="inlineStr"/>
      <c r="B92" s="8" t="inlineStr">
        <is>
          <t xml:space="preserve">  本社浄化槽　61,070　　　　　毎年5月</t>
        </is>
      </c>
      <c r="C92" s="9" t="n"/>
      <c r="D92" s="9" t="n"/>
      <c r="E92" s="9" t="n"/>
      <c r="F92" s="9" t="n"/>
      <c r="G92" s="9" t="n">
        <v>61070</v>
      </c>
      <c r="H92" s="9" t="n"/>
      <c r="I92" s="10">
        <f>SUM(C92:H92)</f>
        <v/>
      </c>
      <c r="J92" s="41">
        <f>'大日産業（本社）_上期_7-12月'!I109</f>
        <v/>
      </c>
      <c r="K92" s="42">
        <f>I92+J92</f>
        <v/>
      </c>
    </row>
    <row r="93" ht="13" customHeight="1">
      <c r="A93" s="8" t="inlineStr"/>
      <c r="B93" s="8" t="inlineStr">
        <is>
          <t xml:space="preserve">  山田勝一　羽島L看板8万　毎年7月</t>
        </is>
      </c>
      <c r="C93" s="9" t="n"/>
      <c r="D93" s="9" t="n"/>
      <c r="E93" s="9" t="n"/>
      <c r="F93" s="9" t="n"/>
      <c r="G93" s="9" t="n"/>
      <c r="H93" s="9" t="n"/>
      <c r="I93" s="10">
        <f>SUM(C93:H93)</f>
        <v/>
      </c>
      <c r="J93" s="41">
        <f>'大日産業（本社）_上期_7-12月'!I105</f>
        <v/>
      </c>
      <c r="K93" s="42">
        <f>I93+J93</f>
        <v/>
      </c>
    </row>
    <row r="94" ht="13" customHeight="1">
      <c r="A94" s="8" t="inlineStr"/>
      <c r="B94" s="8" t="inlineStr">
        <is>
          <t xml:space="preserve">  AJへ　自販機設置料12万　毎年5月</t>
        </is>
      </c>
      <c r="C94" s="9" t="n"/>
      <c r="D94" s="9" t="n"/>
      <c r="E94" s="9" t="n"/>
      <c r="F94" s="9" t="n"/>
      <c r="G94" s="9" t="n"/>
      <c r="H94" s="9" t="n"/>
      <c r="I94" s="10">
        <f>SUM(C94:H94)</f>
        <v/>
      </c>
      <c r="J94" s="41">
        <f>'大日産業（本社）_上期_7-12月'!I108</f>
        <v/>
      </c>
      <c r="K94" s="42">
        <f>I94+J94</f>
        <v/>
      </c>
    </row>
    <row r="95" ht="13" customHeight="1">
      <c r="A95" s="8" t="inlineStr"/>
      <c r="B95" s="8" t="inlineStr">
        <is>
          <t xml:space="preserve">  USEN　年会費　59,400　　　毎年10月</t>
        </is>
      </c>
      <c r="C95" s="9" t="n"/>
      <c r="D95" s="9" t="n"/>
      <c r="E95" s="9" t="n"/>
      <c r="F95" s="9" t="n"/>
      <c r="G95" s="9" t="n"/>
      <c r="H95" s="9" t="n"/>
      <c r="I95" s="10">
        <f>SUM(C95:H95)</f>
        <v/>
      </c>
      <c r="J95" s="41">
        <f>'大日産業（本社）_上期_7-12月'!I110</f>
        <v/>
      </c>
      <c r="K95" s="42">
        <f>I95+J95</f>
        <v/>
      </c>
    </row>
    <row r="96" ht="13" customHeight="1">
      <c r="A96" s="8" t="inlineStr"/>
      <c r="B96" s="8" t="inlineStr">
        <is>
          <t xml:space="preserve">  アプロワン　屋根13万2千　毎年12月</t>
        </is>
      </c>
      <c r="C96" s="9" t="n"/>
      <c r="D96" s="9" t="n"/>
      <c r="E96" s="9" t="n"/>
      <c r="F96" s="9" t="n"/>
      <c r="G96" s="9" t="n"/>
      <c r="H96" s="9" t="n"/>
      <c r="I96" s="10">
        <f>SUM(C96:H96)</f>
        <v/>
      </c>
      <c r="J96" s="41">
        <f>'大日産業（本社）_上期_7-12月'!I106</f>
        <v/>
      </c>
      <c r="K96" s="42">
        <f>I96+J96</f>
        <v/>
      </c>
    </row>
    <row r="97" ht="1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3" t="n"/>
      <c r="J97" s="43" t="n"/>
      <c r="K97" s="44" t="n"/>
    </row>
    <row r="98" ht="14" customHeight="1">
      <c r="A98" s="4" t="n"/>
      <c r="B98" s="5" t="inlineStr">
        <is>
          <t>▶ 貸付・返済</t>
        </is>
      </c>
      <c r="C98" s="6">
        <f>SUM(C99:C101)</f>
        <v/>
      </c>
      <c r="D98" s="6">
        <f>SUM(D99:D101)</f>
        <v/>
      </c>
      <c r="E98" s="6">
        <f>SUM(E99:E101)</f>
        <v/>
      </c>
      <c r="F98" s="6">
        <f>SUM(F99:F101)</f>
        <v/>
      </c>
      <c r="G98" s="6">
        <f>SUM(G99:G101)</f>
        <v/>
      </c>
      <c r="H98" s="6">
        <f>SUM(H99:H101)</f>
        <v/>
      </c>
      <c r="I98" s="7">
        <f>SUM(I99:I101)</f>
        <v/>
      </c>
      <c r="J98" s="39">
        <f>SUM(J99:J101)</f>
        <v/>
      </c>
      <c r="K98" s="40">
        <f>SUM(K99:K101)</f>
        <v/>
      </c>
    </row>
    <row r="99" ht="13" customHeight="1">
      <c r="A99" s="8" t="inlineStr"/>
      <c r="B99" s="8" t="inlineStr">
        <is>
          <t xml:space="preserve">  社長へ</t>
        </is>
      </c>
      <c r="C99" s="9" t="n"/>
      <c r="D99" s="9" t="n"/>
      <c r="E99" s="9" t="n">
        <v>1000000</v>
      </c>
      <c r="F99" s="9" t="n"/>
      <c r="G99" s="9" t="n"/>
      <c r="H99" s="9" t="n"/>
      <c r="I99" s="10">
        <f>SUM(C99:H99)</f>
        <v/>
      </c>
      <c r="J99" s="41" t="n"/>
      <c r="K99" s="42">
        <f>I99+J99</f>
        <v/>
      </c>
    </row>
    <row r="100" ht="13" customHeight="1">
      <c r="A100" s="8" t="inlineStr"/>
      <c r="B100" s="8" t="inlineStr">
        <is>
          <t xml:space="preserve">  AMUSE　JAPAN</t>
        </is>
      </c>
      <c r="C100" s="9" t="n"/>
      <c r="D100" s="9" t="n"/>
      <c r="E100" s="9" t="n"/>
      <c r="F100" s="9" t="n"/>
      <c r="G100" s="9" t="n"/>
      <c r="H100" s="9" t="n"/>
      <c r="I100" s="10">
        <f>SUM(C100:H100)</f>
        <v/>
      </c>
      <c r="J100" s="41">
        <f>'大日産業（本社）_上期_7-12月'!I113</f>
        <v/>
      </c>
      <c r="K100" s="42">
        <f>I100+J100</f>
        <v/>
      </c>
    </row>
    <row r="101" ht="1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3" t="n"/>
      <c r="J101" s="43" t="n"/>
      <c r="K101" s="44" t="n"/>
    </row>
    <row r="102" ht="15" customHeight="1">
      <c r="A102" s="15" t="n"/>
      <c r="B102" s="16" t="inlineStr">
        <is>
          <t>① 支出合計</t>
        </is>
      </c>
      <c r="C102" s="17">
        <f>C4+C13+C34+C39+C42+C52+C59+C67+C75+C80+C90+C98</f>
        <v/>
      </c>
      <c r="D102" s="17">
        <f>D4+D13+D34+D39+D42+D52+D59+D67+D75+D80+D90+D98</f>
        <v/>
      </c>
      <c r="E102" s="17">
        <f>E4+E13+E34+E39+E42+E52+E59+E67+E75+E80+E90+E98</f>
        <v/>
      </c>
      <c r="F102" s="17">
        <f>F4+F13+F34+F39+F42+F52+F59+F67+F75+F80+F90+F98</f>
        <v/>
      </c>
      <c r="G102" s="17">
        <f>G4+G13+G34+G39+G42+G52+G59+G67+G75+G80+G90+G98</f>
        <v/>
      </c>
      <c r="H102" s="17">
        <f>H4+H13+H34+H39+H42+H52+H59+H67+H75+H80+H90+H98</f>
        <v/>
      </c>
      <c r="I102" s="7">
        <f>I4+I13+I34+I39+I42+I52+I59+I67+I75+I80+I90+I98</f>
        <v/>
      </c>
      <c r="J102" s="39">
        <f>J4+J13+J34+J39+J42+J52+J59+J67+J75+J80+J90+J98</f>
        <v/>
      </c>
      <c r="K102" s="40">
        <f>K4+K13+K34+K39+K42+K52+K59+K67+K75+K80+K90+K98</f>
        <v/>
      </c>
    </row>
    <row r="104" ht="16" customHeight="1">
      <c r="A104" s="18" t="inlineStr">
        <is>
          <t>【 ② 収　入（売上・粗利・雑収入など） 】</t>
        </is>
      </c>
    </row>
    <row r="105" ht="14" customHeight="1">
      <c r="A105" s="19" t="n"/>
      <c r="B105" s="20" t="inlineStr">
        <is>
          <t>▶ 収入・支出項目</t>
        </is>
      </c>
      <c r="C105" s="21">
        <f>SUM(C106:C122)</f>
        <v/>
      </c>
      <c r="D105" s="21">
        <f>SUM(D106:D122)</f>
        <v/>
      </c>
      <c r="E105" s="21">
        <f>SUM(E106:E122)</f>
        <v/>
      </c>
      <c r="F105" s="21">
        <f>SUM(F106:F122)</f>
        <v/>
      </c>
      <c r="G105" s="21">
        <f>SUM(G106:G122)</f>
        <v/>
      </c>
      <c r="H105" s="21">
        <f>SUM(H106:H122)</f>
        <v/>
      </c>
      <c r="I105" s="7">
        <f>SUM(I106:I122)</f>
        <v/>
      </c>
      <c r="J105" s="39">
        <f>SUM(J106:J122)</f>
        <v/>
      </c>
      <c r="K105" s="40">
        <f>SUM(K106:K122)</f>
        <v/>
      </c>
    </row>
    <row r="106" ht="13" customHeight="1">
      <c r="A106" s="22" t="inlineStr">
        <is>
          <t>10</t>
        </is>
      </c>
      <c r="B106" s="22" t="inlineStr">
        <is>
          <t xml:space="preserve">  EK　未収家賃</t>
        </is>
      </c>
      <c r="C106" s="24" t="n">
        <v>313253</v>
      </c>
      <c r="D106" s="24" t="n">
        <v>313253</v>
      </c>
      <c r="E106" s="24" t="n">
        <v>313253</v>
      </c>
      <c r="F106" s="24" t="n">
        <v>313253</v>
      </c>
      <c r="G106" s="24" t="n">
        <v>313253</v>
      </c>
      <c r="H106" s="24" t="n"/>
      <c r="I106" s="10">
        <f>SUM(C106:H106)</f>
        <v/>
      </c>
      <c r="J106" s="41">
        <f>'大日産業（本社）_上期_7-12月'!I119</f>
        <v/>
      </c>
      <c r="K106" s="42">
        <f>I106+J106</f>
        <v/>
      </c>
    </row>
    <row r="107" ht="13" customHeight="1">
      <c r="A107" s="22" t="inlineStr">
        <is>
          <t>10</t>
        </is>
      </c>
      <c r="B107" s="22" t="inlineStr">
        <is>
          <t xml:space="preserve">  羽島地代家賃</t>
        </is>
      </c>
      <c r="C107" s="23" t="n">
        <v>5000000</v>
      </c>
      <c r="D107" s="23" t="n">
        <v>5000000</v>
      </c>
      <c r="E107" s="23" t="n">
        <v>6000000</v>
      </c>
      <c r="F107" s="23" t="n">
        <v>5000000</v>
      </c>
      <c r="G107" s="23" t="n">
        <v>5000000</v>
      </c>
      <c r="H107" s="23" t="n"/>
      <c r="I107" s="10">
        <f>SUM(C107:H107)</f>
        <v/>
      </c>
      <c r="J107" s="41">
        <f>'大日産業（本社）_上期_7-12月'!I131</f>
        <v/>
      </c>
      <c r="K107" s="42">
        <f>I107+J107</f>
        <v/>
      </c>
    </row>
    <row r="108" ht="13" customHeight="1">
      <c r="A108" s="22" t="inlineStr">
        <is>
          <t>10</t>
        </is>
      </c>
      <c r="B108" s="22" t="inlineStr">
        <is>
          <t xml:space="preserve">  事務委託費</t>
        </is>
      </c>
      <c r="C108" s="24" t="n">
        <v>110000</v>
      </c>
      <c r="D108" s="24" t="n">
        <v>110000</v>
      </c>
      <c r="E108" s="24" t="n">
        <v>110000</v>
      </c>
      <c r="F108" s="24" t="n">
        <v>110000</v>
      </c>
      <c r="G108" s="24" t="n">
        <v>110000</v>
      </c>
      <c r="H108" s="24" t="n"/>
      <c r="I108" s="10">
        <f>SUM(C108:H108)</f>
        <v/>
      </c>
      <c r="J108" s="41">
        <f>'大日産業（本社）_上期_7-12月'!I120</f>
        <v/>
      </c>
      <c r="K108" s="42">
        <f>I108+J108</f>
        <v/>
      </c>
    </row>
    <row r="109" ht="13" customHeight="1">
      <c r="A109" s="22" t="inlineStr">
        <is>
          <t>31</t>
        </is>
      </c>
      <c r="B109" s="22" t="inlineStr">
        <is>
          <t xml:space="preserve">  桑名セブンイレブン</t>
        </is>
      </c>
      <c r="C109" s="24" t="n">
        <v>313550</v>
      </c>
      <c r="D109" s="24" t="n">
        <v>313550</v>
      </c>
      <c r="E109" s="24" t="n">
        <v>313550</v>
      </c>
      <c r="F109" s="24" t="n">
        <v>313550</v>
      </c>
      <c r="G109" s="24" t="n">
        <v>313550</v>
      </c>
      <c r="H109" s="24" t="n"/>
      <c r="I109" s="10">
        <f>SUM(C109:H109)</f>
        <v/>
      </c>
      <c r="J109" s="41">
        <f>'大日産業（本社）_上期_7-12月'!I121</f>
        <v/>
      </c>
      <c r="K109" s="42">
        <f>I109+J109</f>
        <v/>
      </c>
    </row>
    <row r="110" ht="13" customHeight="1">
      <c r="A110" s="22" t="inlineStr"/>
      <c r="B110" s="22" t="inlineStr">
        <is>
          <t xml:space="preserve">  ウェルピア車</t>
        </is>
      </c>
      <c r="C110" s="24" t="n">
        <v>220000</v>
      </c>
      <c r="D110" s="24" t="n">
        <v>220000</v>
      </c>
      <c r="E110" s="24" t="n">
        <v>220000</v>
      </c>
      <c r="F110" s="24" t="n">
        <v>220000</v>
      </c>
      <c r="G110" s="24" t="n">
        <v>220000</v>
      </c>
      <c r="H110" s="24" t="n"/>
      <c r="I110" s="10">
        <f>SUM(C110:H110)</f>
        <v/>
      </c>
      <c r="J110" s="41">
        <f>'大日産業（本社）_上期_7-12月'!I126</f>
        <v/>
      </c>
      <c r="K110" s="42">
        <f>I110+J110</f>
        <v/>
      </c>
    </row>
    <row r="111" ht="13" customHeight="1">
      <c r="A111" s="22" t="inlineStr"/>
      <c r="B111" s="22" t="inlineStr">
        <is>
          <t xml:space="preserve">  ウェルピア出向.事務費 等</t>
        </is>
      </c>
      <c r="C111" s="23" t="n">
        <v>303334</v>
      </c>
      <c r="D111" s="23" t="n">
        <v>288682</v>
      </c>
      <c r="E111" s="23" t="n">
        <v>287368</v>
      </c>
      <c r="F111" s="23" t="n"/>
      <c r="G111" s="23" t="n"/>
      <c r="H111" s="23" t="n"/>
      <c r="I111" s="10">
        <f>SUM(C111:H111)</f>
        <v/>
      </c>
      <c r="J111" s="41">
        <f>'大日産業（本社）_上期_7-12月'!I127</f>
        <v/>
      </c>
      <c r="K111" s="42">
        <f>I111+J111</f>
        <v/>
      </c>
    </row>
    <row r="112" ht="13" customHeight="1">
      <c r="A112" s="22" t="inlineStr"/>
      <c r="B112" s="22" t="inlineStr">
        <is>
          <t xml:space="preserve">  不動産　預かり消費税　固定資産税</t>
        </is>
      </c>
      <c r="C112" s="23" t="n">
        <v>1030000</v>
      </c>
      <c r="D112" s="23" t="n">
        <v>1730000</v>
      </c>
      <c r="E112" s="23" t="n">
        <v>1730000</v>
      </c>
      <c r="F112" s="23" t="n">
        <v>1730000</v>
      </c>
      <c r="G112" s="23" t="n">
        <v>1730000</v>
      </c>
      <c r="H112" s="23" t="n"/>
      <c r="I112" s="10">
        <f>SUM(C112:H112)</f>
        <v/>
      </c>
      <c r="J112" s="41">
        <f>'大日産業（本社）_上期_7-12月'!I128</f>
        <v/>
      </c>
      <c r="K112" s="42">
        <f>I112+J112</f>
        <v/>
      </c>
    </row>
    <row r="113" ht="13" customHeight="1">
      <c r="A113" s="22" t="inlineStr">
        <is>
          <t>25</t>
        </is>
      </c>
      <c r="B113" s="22" t="inlineStr">
        <is>
          <t xml:space="preserve">  チェリオ販売手数料</t>
        </is>
      </c>
      <c r="C113" s="23" t="n">
        <v>272380</v>
      </c>
      <c r="D113" s="23" t="n">
        <v>295648</v>
      </c>
      <c r="E113" s="23" t="n">
        <v>228401</v>
      </c>
      <c r="F113" s="23" t="n">
        <v>274002</v>
      </c>
      <c r="G113" s="23" t="n"/>
      <c r="H113" s="23" t="n"/>
      <c r="I113" s="10">
        <f>SUM(C113:H113)</f>
        <v/>
      </c>
      <c r="J113" s="41">
        <f>'大日産業（本社）_上期_7-12月'!I122</f>
        <v/>
      </c>
      <c r="K113" s="42">
        <f>I113+J113</f>
        <v/>
      </c>
    </row>
    <row r="114" ht="13" customHeight="1">
      <c r="A114" s="22" t="inlineStr"/>
      <c r="B114" s="22" t="inlineStr">
        <is>
          <t xml:space="preserve">  トウカイサ－モ（内職）</t>
        </is>
      </c>
      <c r="C114" s="23" t="n">
        <v>34874</v>
      </c>
      <c r="D114" s="23" t="n">
        <v>107873</v>
      </c>
      <c r="E114" s="23" t="n">
        <v>115677</v>
      </c>
      <c r="F114" s="23" t="n">
        <v>136626</v>
      </c>
      <c r="G114" s="23" t="n"/>
      <c r="H114" s="23" t="n"/>
      <c r="I114" s="10">
        <f>SUM(C114:H114)</f>
        <v/>
      </c>
      <c r="J114" s="41">
        <f>'大日産業（本社）_上期_7-12月'!I124</f>
        <v/>
      </c>
      <c r="K114" s="42">
        <f>I114+J114</f>
        <v/>
      </c>
    </row>
    <row r="115" ht="13" customHeight="1">
      <c r="A115" s="22" t="inlineStr"/>
      <c r="B115" s="22" t="inlineStr">
        <is>
          <t xml:space="preserve">  エヌエスアール（内職）</t>
        </is>
      </c>
      <c r="C115" s="23" t="n">
        <v>51597</v>
      </c>
      <c r="D115" s="23" t="n">
        <v>94374</v>
      </c>
      <c r="E115" s="23" t="n">
        <v>111573</v>
      </c>
      <c r="F115" s="23" t="n"/>
      <c r="G115" s="23" t="n"/>
      <c r="H115" s="23" t="n"/>
      <c r="I115" s="10">
        <f>SUM(C115:H115)</f>
        <v/>
      </c>
      <c r="J115" s="41">
        <f>'大日産業（本社）_上期_7-12月'!I125</f>
        <v/>
      </c>
      <c r="K115" s="42">
        <f>I115+J115</f>
        <v/>
      </c>
    </row>
    <row r="116" ht="13" customHeight="1">
      <c r="A116" s="22" t="inlineStr"/>
      <c r="B116" s="22" t="inlineStr">
        <is>
          <t xml:space="preserve">  太陽光　売電収入（福寿～大日）</t>
        </is>
      </c>
      <c r="C116" s="23" t="n">
        <v>231975</v>
      </c>
      <c r="D116" s="23" t="n">
        <v>251168</v>
      </c>
      <c r="E116" s="23" t="n">
        <v>374430</v>
      </c>
      <c r="F116" s="23" t="n"/>
      <c r="G116" s="23" t="n"/>
      <c r="H116" s="23" t="n"/>
      <c r="I116" s="10">
        <f>SUM(C116:H116)</f>
        <v/>
      </c>
      <c r="J116" s="41">
        <f>'大日産業（本社）_上期_7-12月'!I129</f>
        <v/>
      </c>
      <c r="K116" s="42">
        <f>I116+J116</f>
        <v/>
      </c>
    </row>
    <row r="117" ht="13" customHeight="1">
      <c r="A117" s="22" t="inlineStr"/>
      <c r="B117" s="22" t="inlineStr">
        <is>
          <t xml:space="preserve">  太陽光　売電収入　（桑名店）</t>
        </is>
      </c>
      <c r="C117" s="23" t="n">
        <v>209866</v>
      </c>
      <c r="D117" s="23" t="n">
        <v>203424</v>
      </c>
      <c r="E117" s="23" t="n">
        <v>276700</v>
      </c>
      <c r="F117" s="23" t="n"/>
      <c r="G117" s="23" t="n"/>
      <c r="H117" s="23" t="n"/>
      <c r="I117" s="10">
        <f>SUM(C117:H117)</f>
        <v/>
      </c>
      <c r="J117" s="41">
        <f>'大日産業（本社）_上期_7-12月'!I130</f>
        <v/>
      </c>
      <c r="K117" s="42">
        <f>I117+J117</f>
        <v/>
      </c>
    </row>
    <row r="118" ht="13" customHeight="1">
      <c r="A118" s="22" t="inlineStr">
        <is>
          <t>20</t>
        </is>
      </c>
      <c r="B118" s="22" t="inlineStr">
        <is>
          <t xml:space="preserve">  中部第一郵送　（解体）</t>
        </is>
      </c>
      <c r="C118" s="23" t="n"/>
      <c r="D118" s="23" t="n">
        <v>78925</v>
      </c>
      <c r="E118" s="23" t="n">
        <v>62700</v>
      </c>
      <c r="F118" s="23" t="n"/>
      <c r="G118" s="23" t="n"/>
      <c r="H118" s="23" t="n"/>
      <c r="I118" s="10">
        <f>SUM(C118:H118)</f>
        <v/>
      </c>
      <c r="J118" s="41">
        <f>'大日産業（本社）_上期_7-12月'!I123</f>
        <v/>
      </c>
      <c r="K118" s="42">
        <f>I118+J118</f>
        <v/>
      </c>
    </row>
    <row r="119" ht="13" customHeight="1">
      <c r="A119" s="22" t="inlineStr"/>
      <c r="B119" s="22" t="inlineStr">
        <is>
          <t xml:space="preserve">  税還付</t>
        </is>
      </c>
      <c r="C119" s="23" t="n"/>
      <c r="D119" s="23" t="n">
        <v>87100</v>
      </c>
      <c r="E119" s="23" t="n">
        <v>205900</v>
      </c>
      <c r="F119" s="23" t="n"/>
      <c r="G119" s="23" t="n"/>
      <c r="H119" s="23" t="n"/>
      <c r="I119" s="10">
        <f>SUM(C119:H119)</f>
        <v/>
      </c>
      <c r="J119" s="41" t="n"/>
      <c r="K119" s="42">
        <f>I119+J119</f>
        <v/>
      </c>
    </row>
    <row r="120" ht="13" customHeight="1">
      <c r="A120" s="22" t="inlineStr"/>
      <c r="B120" s="22" t="inlineStr">
        <is>
          <t xml:space="preserve">  パウダー出向費 等</t>
        </is>
      </c>
      <c r="C120" s="23" t="n"/>
      <c r="D120" s="23" t="n"/>
      <c r="E120" s="23" t="n">
        <v>227313</v>
      </c>
      <c r="F120" s="23" t="n">
        <v>327076</v>
      </c>
      <c r="G120" s="23" t="n"/>
      <c r="H120" s="23" t="n"/>
      <c r="I120" s="10">
        <f>SUM(C120:H120)</f>
        <v/>
      </c>
      <c r="J120" s="41" t="n"/>
      <c r="K120" s="42">
        <f>I120+J120</f>
        <v/>
      </c>
    </row>
    <row r="121" ht="13" customHeight="1">
      <c r="A121" s="22" t="inlineStr"/>
      <c r="B121" s="22" t="inlineStr">
        <is>
          <t xml:space="preserve">  グループ立替</t>
        </is>
      </c>
      <c r="C121" s="23" t="n">
        <v>1580000</v>
      </c>
      <c r="D121" s="23" t="n"/>
      <c r="E121" s="23" t="n"/>
      <c r="F121" s="23" t="n"/>
      <c r="G121" s="23" t="n"/>
      <c r="H121" s="23" t="n"/>
      <c r="I121" s="10">
        <f>SUM(C121:H121)</f>
        <v/>
      </c>
      <c r="J121" s="41">
        <f>'大日産業（本社）_上期_7-12月'!I132</f>
        <v/>
      </c>
      <c r="K121" s="42">
        <f>I121+J121</f>
        <v/>
      </c>
    </row>
    <row r="122" ht="12" customHeight="1">
      <c r="A122" s="25" t="n"/>
      <c r="B122" s="25" t="n"/>
      <c r="C122" s="26" t="n"/>
      <c r="D122" s="26" t="n"/>
      <c r="E122" s="26" t="n"/>
      <c r="F122" s="26" t="n"/>
      <c r="G122" s="26" t="n"/>
      <c r="H122" s="26" t="n"/>
      <c r="I122" s="13" t="n"/>
      <c r="J122" s="43" t="n"/>
      <c r="K122" s="44" t="n"/>
    </row>
    <row r="123" ht="15" customHeight="1">
      <c r="A123" s="27" t="n"/>
      <c r="B123" s="28" t="inlineStr">
        <is>
          <t>② 収入合計</t>
        </is>
      </c>
      <c r="C123" s="29">
        <f>C105</f>
        <v/>
      </c>
      <c r="D123" s="29">
        <f>D105</f>
        <v/>
      </c>
      <c r="E123" s="29">
        <f>E105</f>
        <v/>
      </c>
      <c r="F123" s="29">
        <f>F105</f>
        <v/>
      </c>
      <c r="G123" s="29">
        <f>G105</f>
        <v/>
      </c>
      <c r="H123" s="29">
        <f>H105</f>
        <v/>
      </c>
      <c r="I123" s="7">
        <f>I105</f>
        <v/>
      </c>
      <c r="J123" s="39">
        <f>J105</f>
        <v/>
      </c>
      <c r="K123" s="40">
        <f>K105</f>
        <v/>
      </c>
    </row>
    <row r="125" ht="22" customHeight="1">
      <c r="A125" s="30" t="n"/>
      <c r="B125" s="31" t="inlineStr">
        <is>
          <t>① 経　費</t>
        </is>
      </c>
      <c r="C125" s="32">
        <f>C102</f>
        <v/>
      </c>
      <c r="D125" s="32">
        <f>D102</f>
        <v/>
      </c>
      <c r="E125" s="32">
        <f>E102</f>
        <v/>
      </c>
      <c r="F125" s="32">
        <f>F102</f>
        <v/>
      </c>
      <c r="G125" s="32">
        <f>G102</f>
        <v/>
      </c>
      <c r="H125" s="32">
        <f>H102</f>
        <v/>
      </c>
      <c r="I125" s="32">
        <f>I102</f>
        <v/>
      </c>
      <c r="J125" s="32">
        <f>J102</f>
        <v/>
      </c>
      <c r="K125" s="32">
        <f>K102</f>
        <v/>
      </c>
    </row>
    <row r="126" ht="22" customHeight="1">
      <c r="A126" s="33" t="n"/>
      <c r="B126" s="34" t="inlineStr">
        <is>
          <t>② 収　入</t>
        </is>
      </c>
      <c r="C126" s="35">
        <f>C123</f>
        <v/>
      </c>
      <c r="D126" s="35">
        <f>D123</f>
        <v/>
      </c>
      <c r="E126" s="35">
        <f>E123</f>
        <v/>
      </c>
      <c r="F126" s="35">
        <f>F123</f>
        <v/>
      </c>
      <c r="G126" s="35">
        <f>G123</f>
        <v/>
      </c>
      <c r="H126" s="35">
        <f>H123</f>
        <v/>
      </c>
      <c r="I126" s="35">
        <f>I123</f>
        <v/>
      </c>
      <c r="J126" s="35">
        <f>J123</f>
        <v/>
      </c>
      <c r="K126" s="35">
        <f>K123</f>
        <v/>
      </c>
    </row>
    <row r="127" ht="22" customHeight="1">
      <c r="A127" s="36" t="n"/>
      <c r="B127" s="37" t="inlineStr">
        <is>
          <t>③ 収　支  ②－①</t>
        </is>
      </c>
      <c r="C127" s="38">
        <f>C123-C102</f>
        <v/>
      </c>
      <c r="D127" s="38">
        <f>D123-D102</f>
        <v/>
      </c>
      <c r="E127" s="38">
        <f>E123-E102</f>
        <v/>
      </c>
      <c r="F127" s="38">
        <f>F123-F102</f>
        <v/>
      </c>
      <c r="G127" s="38">
        <f>G123-G102</f>
        <v/>
      </c>
      <c r="H127" s="38">
        <f>H123-H102</f>
        <v/>
      </c>
      <c r="I127" s="38">
        <f>I123-I102</f>
        <v/>
      </c>
      <c r="J127" s="38">
        <f>J123-J102</f>
        <v/>
      </c>
      <c r="K127" s="38">
        <f>K123-K102</f>
        <v/>
      </c>
    </row>
    <row r="130" ht="20" customHeight="1">
      <c r="A130" s="45" t="inlineStr">
        <is>
          <t>【 大日産業グループ法人合算 　（大日産業（不動産）、Eats、サイクルEV、ボディケア　合算） 】</t>
        </is>
      </c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7" t="n"/>
    </row>
    <row r="131" ht="22" customHeight="1">
      <c r="A131" s="48" t="n"/>
      <c r="B131" s="49" t="inlineStr">
        <is>
          <t>① 経　費（合算）</t>
        </is>
      </c>
      <c r="C131" s="50">
        <f>C102+'大日産業（不動産）_下期_1-6月'!C106+'Eats_下期_1-6月'!C43+'サイクルEV_下期_1-6月'!C42+'ボディケア_下期_1-6月'!C32</f>
        <v/>
      </c>
      <c r="D131" s="50">
        <f>D102+'大日産業（不動産）_下期_1-6月'!D106+'Eats_下期_1-6月'!D43+'サイクルEV_下期_1-6月'!D42+'ボディケア_下期_1-6月'!D32</f>
        <v/>
      </c>
      <c r="E131" s="50">
        <f>E102+'大日産業（不動産）_下期_1-6月'!E106+'Eats_下期_1-6月'!E43+'サイクルEV_下期_1-6月'!E42+'ボディケア_下期_1-6月'!E32</f>
        <v/>
      </c>
      <c r="F131" s="50">
        <f>F102+'大日産業（不動産）_下期_1-6月'!F106+'Eats_下期_1-6月'!F43+'サイクルEV_下期_1-6月'!F42+'ボディケア_下期_1-6月'!F32</f>
        <v/>
      </c>
      <c r="G131" s="50">
        <f>G102+'大日産業（不動産）_下期_1-6月'!G106+'Eats_下期_1-6月'!G43+'サイクルEV_下期_1-6月'!G42+'ボディケア_下期_1-6月'!G32</f>
        <v/>
      </c>
      <c r="H131" s="50">
        <f>H102+'大日産業（不動産）_下期_1-6月'!H106+'Eats_下期_1-6月'!H43+'サイクルEV_下期_1-6月'!H42+'ボディケア_下期_1-6月'!H32</f>
        <v/>
      </c>
      <c r="I131" s="50">
        <f>I102+'大日産業（不動産）_下期_1-6月'!I106+'Eats_下期_1-6月'!I43+'サイクルEV_下期_1-6月'!I42+'ボディケア_下期_1-6月'!I32</f>
        <v/>
      </c>
      <c r="J131" s="50">
        <f>J102+'大日産業（不動産）_下期_1-6月'!J106+'Eats_下期_1-6月'!J43+'サイクルEV_下期_1-6月'!J42+'ボディケア_下期_1-6月'!J32</f>
        <v/>
      </c>
      <c r="K131" s="50">
        <f>K102+'大日産業（不動産）_下期_1-6月'!K106+'Eats_下期_1-6月'!K43+'サイクルEV_下期_1-6月'!K42+'ボディケア_下期_1-6月'!K32</f>
        <v/>
      </c>
    </row>
    <row r="132" ht="22" customHeight="1">
      <c r="A132" s="51" t="n"/>
      <c r="B132" s="52" t="inlineStr">
        <is>
          <t>② 収　入（合算）</t>
        </is>
      </c>
      <c r="C132" s="53">
        <f>C123+'大日産業（不動産）_下期_1-6月'!C143+'Eats_下期_1-6月'!C57+'サイクルEV_下期_1-6月'!C57+'ボディケア_下期_1-6月'!C47</f>
        <v/>
      </c>
      <c r="D132" s="53">
        <f>D123+'大日産業（不動産）_下期_1-6月'!D143+'Eats_下期_1-6月'!D57+'サイクルEV_下期_1-6月'!D57+'ボディケア_下期_1-6月'!D47</f>
        <v/>
      </c>
      <c r="E132" s="53">
        <f>E123+'大日産業（不動産）_下期_1-6月'!E143+'Eats_下期_1-6月'!E57+'サイクルEV_下期_1-6月'!E57+'ボディケア_下期_1-6月'!E47</f>
        <v/>
      </c>
      <c r="F132" s="53">
        <f>F123+'大日産業（不動産）_下期_1-6月'!F143+'Eats_下期_1-6月'!F57+'サイクルEV_下期_1-6月'!F57+'ボディケア_下期_1-6月'!F47</f>
        <v/>
      </c>
      <c r="G132" s="53">
        <f>G123+'大日産業（不動産）_下期_1-6月'!G143+'Eats_下期_1-6月'!G57+'サイクルEV_下期_1-6月'!G57+'ボディケア_下期_1-6月'!G47</f>
        <v/>
      </c>
      <c r="H132" s="53">
        <f>H123+'大日産業（不動産）_下期_1-6月'!H143+'Eats_下期_1-6月'!H57+'サイクルEV_下期_1-6月'!H57+'ボディケア_下期_1-6月'!H47</f>
        <v/>
      </c>
      <c r="I132" s="53">
        <f>I123+'大日産業（不動産）_下期_1-6月'!I143+'Eats_下期_1-6月'!I57+'サイクルEV_下期_1-6月'!I57+'ボディケア_下期_1-6月'!I47</f>
        <v/>
      </c>
      <c r="J132" s="53">
        <f>J123+'大日産業（不動産）_下期_1-6月'!J143+'Eats_下期_1-6月'!J57+'サイクルEV_下期_1-6月'!J57+'ボディケア_下期_1-6月'!J47</f>
        <v/>
      </c>
      <c r="K132" s="53">
        <f>K123+'大日産業（不動産）_下期_1-6月'!K143+'Eats_下期_1-6月'!K57+'サイクルEV_下期_1-6月'!K57+'ボディケア_下期_1-6月'!K47</f>
        <v/>
      </c>
    </row>
    <row r="133" ht="22" customHeight="1">
      <c r="A133" s="54" t="n"/>
      <c r="B133" s="55" t="inlineStr">
        <is>
          <t>③ 収　支（合算）②－①</t>
        </is>
      </c>
      <c r="C133" s="56">
        <f>C123+'大日産業（不動産）_下期_1-6月'!C143+'Eats_下期_1-6月'!C57+'サイクルEV_下期_1-6月'!C57+'ボディケア_下期_1-6月'!C47-C102-'大日産業（不動産）_下期_1-6月'!C106-'Eats_下期_1-6月'!C43-'サイクルEV_下期_1-6月'!C42-'ボディケア_下期_1-6月'!C32</f>
        <v/>
      </c>
      <c r="D133" s="56">
        <f>D123+'大日産業（不動産）_下期_1-6月'!D143+'Eats_下期_1-6月'!D57+'サイクルEV_下期_1-6月'!D57+'ボディケア_下期_1-6月'!D47-D102-'大日産業（不動産）_下期_1-6月'!D106-'Eats_下期_1-6月'!D43-'サイクルEV_下期_1-6月'!D42-'ボディケア_下期_1-6月'!D32</f>
        <v/>
      </c>
      <c r="E133" s="56">
        <f>E123+'大日産業（不動産）_下期_1-6月'!E143+'Eats_下期_1-6月'!E57+'サイクルEV_下期_1-6月'!E57+'ボディケア_下期_1-6月'!E47-E102-'大日産業（不動産）_下期_1-6月'!E106-'Eats_下期_1-6月'!E43-'サイクルEV_下期_1-6月'!E42-'ボディケア_下期_1-6月'!E32</f>
        <v/>
      </c>
      <c r="F133" s="56">
        <f>F123+'大日産業（不動産）_下期_1-6月'!F143+'Eats_下期_1-6月'!F57+'サイクルEV_下期_1-6月'!F57+'ボディケア_下期_1-6月'!F47-F102-'大日産業（不動産）_下期_1-6月'!F106-'Eats_下期_1-6月'!F43-'サイクルEV_下期_1-6月'!F42-'ボディケア_下期_1-6月'!F32</f>
        <v/>
      </c>
      <c r="G133" s="56">
        <f>G123+'大日産業（不動産）_下期_1-6月'!G143+'Eats_下期_1-6月'!G57+'サイクルEV_下期_1-6月'!G57+'ボディケア_下期_1-6月'!G47-G102-'大日産業（不動産）_下期_1-6月'!G106-'Eats_下期_1-6月'!G43-'サイクルEV_下期_1-6月'!G42-'ボディケア_下期_1-6月'!G32</f>
        <v/>
      </c>
      <c r="H133" s="56">
        <f>H123+'大日産業（不動産）_下期_1-6月'!H143+'Eats_下期_1-6月'!H57+'サイクルEV_下期_1-6月'!H57+'ボディケア_下期_1-6月'!H47-H102-'大日産業（不動産）_下期_1-6月'!H106-'Eats_下期_1-6月'!H43-'サイクルEV_下期_1-6月'!H42-'ボディケア_下期_1-6月'!H32</f>
        <v/>
      </c>
      <c r="I133" s="56">
        <f>I123+'大日産業（不動産）_下期_1-6月'!I143+'Eats_下期_1-6月'!I57+'サイクルEV_下期_1-6月'!I57+'ボディケア_下期_1-6月'!I47-I102-'大日産業（不動産）_下期_1-6月'!I106-'Eats_下期_1-6月'!I43-'サイクルEV_下期_1-6月'!I42-'ボディケア_下期_1-6月'!I32</f>
        <v/>
      </c>
      <c r="J133" s="56">
        <f>J123+'大日産業（不動産）_下期_1-6月'!J143+'Eats_下期_1-6月'!J57+'サイクルEV_下期_1-6月'!J57+'ボディケア_下期_1-6月'!J47-J102-'大日産業（不動産）_下期_1-6月'!J106-'Eats_下期_1-6月'!J43-'サイクルEV_下期_1-6月'!J42-'ボディケア_下期_1-6月'!J32</f>
        <v/>
      </c>
      <c r="K133" s="56">
        <f>K123+'大日産業（不動産）_下期_1-6月'!K143+'Eats_下期_1-6月'!K57+'サイクルEV_下期_1-6月'!K57+'ボディケア_下期_1-6月'!K47-K102-'大日産業（不動産）_下期_1-6月'!K106-'Eats_下期_1-6月'!K43-'サイクルEV_下期_1-6月'!K42-'ボディケア_下期_1-6月'!K32</f>
        <v/>
      </c>
    </row>
  </sheetData>
  <mergeCells count="4">
    <mergeCell ref="A130:K130"/>
    <mergeCell ref="A104:K104"/>
    <mergeCell ref="A1:K1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135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⑤ 大日産業（不動産部門）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不動産岐信（普）で支払い</t>
        </is>
      </c>
      <c r="C4" s="6">
        <f>SUM(C5:C36)</f>
        <v/>
      </c>
      <c r="D4" s="6">
        <f>SUM(D5:D36)</f>
        <v/>
      </c>
      <c r="E4" s="6">
        <f>SUM(E5:E36)</f>
        <v/>
      </c>
      <c r="F4" s="6">
        <f>SUM(F5:F36)</f>
        <v/>
      </c>
      <c r="G4" s="6">
        <f>SUM(G5:G36)</f>
        <v/>
      </c>
      <c r="H4" s="6">
        <f>SUM(H5:H36)</f>
        <v/>
      </c>
      <c r="I4" s="7">
        <f>SUM(I5:I36)</f>
        <v/>
      </c>
    </row>
    <row r="5" ht="13" customHeight="1">
      <c r="A5" s="8" t="inlineStr">
        <is>
          <t>20</t>
        </is>
      </c>
      <c r="B5" s="8" t="inlineStr">
        <is>
          <t xml:space="preserve">  1億5千万　レジデンス（96回〜101回）</t>
        </is>
      </c>
      <c r="C5" s="9" t="n">
        <v>778295</v>
      </c>
      <c r="D5" s="9" t="n">
        <v>777146</v>
      </c>
      <c r="E5" s="9" t="n">
        <v>771739</v>
      </c>
      <c r="F5" s="9" t="n">
        <v>774849</v>
      </c>
      <c r="G5" s="9" t="n">
        <v>769516</v>
      </c>
      <c r="H5" s="9" t="n">
        <v>772551</v>
      </c>
      <c r="I5" s="10">
        <f>SUM(C5:H5)</f>
        <v/>
      </c>
    </row>
    <row r="6" ht="13" customHeight="1">
      <c r="A6" s="8" t="inlineStr">
        <is>
          <t>25</t>
        </is>
      </c>
      <c r="B6" s="8" t="inlineStr">
        <is>
          <t xml:space="preserve">  1750万円　安田（53回〜58回）</t>
        </is>
      </c>
      <c r="C6" s="9" t="n">
        <v>117940</v>
      </c>
      <c r="D6" s="9" t="n">
        <v>117776</v>
      </c>
      <c r="E6" s="9" t="n">
        <v>116947</v>
      </c>
      <c r="F6" s="9" t="n">
        <v>117447</v>
      </c>
      <c r="G6" s="9" t="n">
        <v>116629</v>
      </c>
      <c r="H6" s="9" t="n">
        <v>117119</v>
      </c>
      <c r="I6" s="10">
        <f>SUM(C6:H6)</f>
        <v/>
      </c>
    </row>
    <row r="7" ht="13" customHeight="1">
      <c r="A7" s="8" t="inlineStr"/>
      <c r="B7" s="8" t="inlineStr">
        <is>
          <t xml:space="preserve">  1500万円　南谷（48回〜53回）</t>
        </is>
      </c>
      <c r="C7" s="9" t="n">
        <v>101665</v>
      </c>
      <c r="D7" s="9" t="n">
        <v>101524</v>
      </c>
      <c r="E7" s="9" t="n">
        <v>100791</v>
      </c>
      <c r="F7" s="9" t="n">
        <v>101243</v>
      </c>
      <c r="G7" s="9" t="n">
        <v>100518</v>
      </c>
      <c r="H7" s="9" t="n">
        <v>100962</v>
      </c>
      <c r="I7" s="10">
        <f>SUM(C7:H7)</f>
        <v/>
      </c>
    </row>
    <row r="8" ht="13" customHeight="1">
      <c r="A8" s="8" t="inlineStr">
        <is>
          <t>末</t>
        </is>
      </c>
      <c r="B8" s="8" t="inlineStr">
        <is>
          <t xml:space="preserve">  9800万円　51.52街区（101回〜106回）</t>
        </is>
      </c>
      <c r="C8" s="9" t="n">
        <v>509292</v>
      </c>
      <c r="D8" s="9" t="n">
        <v>505320</v>
      </c>
      <c r="E8" s="9" t="n">
        <v>507836</v>
      </c>
      <c r="F8" s="9" t="n">
        <v>503911</v>
      </c>
      <c r="G8" s="9" t="n">
        <v>506381</v>
      </c>
      <c r="H8" s="9" t="n">
        <v>505653</v>
      </c>
      <c r="I8" s="10">
        <f>SUM(C8:H8)</f>
        <v/>
      </c>
    </row>
    <row r="9" ht="13" customHeight="1">
      <c r="A9" s="8" t="inlineStr"/>
      <c r="B9" s="8" t="inlineStr">
        <is>
          <t xml:space="preserve">  6000万円　BLOCK４７（32回〜37回）</t>
        </is>
      </c>
      <c r="C9" s="9" t="n">
        <v>340550</v>
      </c>
      <c r="D9" s="9" t="n">
        <v>337454</v>
      </c>
      <c r="E9" s="9" t="n">
        <v>339721</v>
      </c>
      <c r="F9" s="9" t="n">
        <v>336651</v>
      </c>
      <c r="G9" s="9" t="n">
        <v>338891</v>
      </c>
      <c r="H9" s="9" t="n">
        <v>338477</v>
      </c>
      <c r="I9" s="10">
        <f>SUM(C9:H9)</f>
        <v/>
      </c>
    </row>
    <row r="10" ht="13" customHeight="1">
      <c r="A10" s="8" t="inlineStr"/>
      <c r="B10" s="8" t="inlineStr">
        <is>
          <t xml:space="preserve">  岐信　積金分（テナント保証金）</t>
        </is>
      </c>
      <c r="C10" s="14" t="n">
        <v>100000</v>
      </c>
      <c r="D10" s="14" t="n">
        <v>100000</v>
      </c>
      <c r="E10" s="14" t="n">
        <v>100000</v>
      </c>
      <c r="F10" s="14" t="n">
        <v>100000</v>
      </c>
      <c r="G10" s="14" t="n">
        <v>100000</v>
      </c>
      <c r="H10" s="14" t="n">
        <v>100000</v>
      </c>
      <c r="I10" s="10">
        <f>SUM(C10:H10)</f>
        <v/>
      </c>
    </row>
    <row r="11" ht="13" customHeight="1">
      <c r="A11" s="8" t="inlineStr"/>
      <c r="B11" s="8" t="inlineStr">
        <is>
          <t xml:space="preserve">  BLOCK47　電気料金</t>
        </is>
      </c>
      <c r="C11" s="9" t="n">
        <v>45800</v>
      </c>
      <c r="D11" s="9" t="n">
        <v>50676</v>
      </c>
      <c r="E11" s="9" t="n">
        <v>50192</v>
      </c>
      <c r="F11" s="9" t="n">
        <v>39319</v>
      </c>
      <c r="G11" s="9" t="n">
        <v>40660</v>
      </c>
      <c r="H11" s="9" t="n">
        <v>38959</v>
      </c>
      <c r="I11" s="10">
        <f>SUM(C11:H11)</f>
        <v/>
      </c>
    </row>
    <row r="12" ht="13" customHeight="1">
      <c r="A12" s="8" t="inlineStr"/>
      <c r="B12" s="8" t="inlineStr">
        <is>
          <t xml:space="preserve">  BLOCK47　ガス料金（空調）</t>
        </is>
      </c>
      <c r="C12" s="9" t="n">
        <v>14684</v>
      </c>
      <c r="D12" s="9" t="n">
        <v>48321</v>
      </c>
      <c r="E12" s="9" t="n">
        <v>68049</v>
      </c>
      <c r="F12" s="9" t="n">
        <v>62632</v>
      </c>
      <c r="G12" s="9" t="n">
        <v>25100</v>
      </c>
      <c r="H12" s="9" t="n">
        <v>3456</v>
      </c>
      <c r="I12" s="10">
        <f>SUM(C12:H12)</f>
        <v/>
      </c>
    </row>
    <row r="13" ht="13" customHeight="1">
      <c r="A13" s="8" t="inlineStr"/>
      <c r="B13" s="8" t="inlineStr">
        <is>
          <t xml:space="preserve">  BLOCK47　通信　テレマーカー</t>
        </is>
      </c>
      <c r="C13" s="9" t="n">
        <v>26166</v>
      </c>
      <c r="D13" s="9" t="n">
        <v>26147</v>
      </c>
      <c r="E13" s="9" t="n">
        <v>25850</v>
      </c>
      <c r="F13" s="9" t="n">
        <v>25582</v>
      </c>
      <c r="G13" s="9" t="n">
        <v>25514</v>
      </c>
      <c r="H13" s="9" t="n">
        <v>25584</v>
      </c>
      <c r="I13" s="10">
        <f>SUM(C13:H13)</f>
        <v/>
      </c>
    </row>
    <row r="14" ht="13" customHeight="1">
      <c r="A14" s="8" t="inlineStr"/>
      <c r="B14" s="8" t="inlineStr">
        <is>
          <t xml:space="preserve">  BLOCK47　Wi-Fi　NTT（テレマーカー）</t>
        </is>
      </c>
      <c r="C14" s="14" t="n">
        <v>15950</v>
      </c>
      <c r="D14" s="14" t="n">
        <v>15950</v>
      </c>
      <c r="E14" s="14" t="n">
        <v>15950</v>
      </c>
      <c r="F14" s="14" t="n">
        <v>15950</v>
      </c>
      <c r="G14" s="14" t="n">
        <v>15950</v>
      </c>
      <c r="H14" s="14" t="n">
        <v>15950</v>
      </c>
      <c r="I14" s="10">
        <f>SUM(C14:H14)</f>
        <v/>
      </c>
    </row>
    <row r="15" ht="13" customHeight="1">
      <c r="A15" s="8" t="inlineStr">
        <is>
          <t>26</t>
        </is>
      </c>
      <c r="B15" s="8" t="inlineStr">
        <is>
          <t xml:space="preserve">  BLOCK　ALSOK　入金機</t>
        </is>
      </c>
      <c r="C15" s="14" t="n">
        <v>62150</v>
      </c>
      <c r="D15" s="14" t="n">
        <v>62150</v>
      </c>
      <c r="E15" s="14" t="n">
        <v>62150</v>
      </c>
      <c r="F15" s="14" t="n">
        <v>62150</v>
      </c>
      <c r="G15" s="14" t="n">
        <v>62150</v>
      </c>
      <c r="H15" s="14" t="n">
        <v>62150</v>
      </c>
      <c r="I15" s="10">
        <f>SUM(C15:H15)</f>
        <v/>
      </c>
    </row>
    <row r="16" ht="13" customHeight="1">
      <c r="A16" s="8" t="inlineStr"/>
      <c r="B16" s="8" t="inlineStr">
        <is>
          <t xml:space="preserve">  BLOCK　ALSOK　施設警備</t>
        </is>
      </c>
      <c r="C16" s="14" t="n">
        <v>21450</v>
      </c>
      <c r="D16" s="14" t="n">
        <v>21450</v>
      </c>
      <c r="E16" s="14" t="n">
        <v>21450</v>
      </c>
      <c r="F16" s="14" t="n">
        <v>21450</v>
      </c>
      <c r="G16" s="14" t="n">
        <v>21450</v>
      </c>
      <c r="H16" s="14" t="n">
        <v>21450</v>
      </c>
      <c r="I16" s="10">
        <f>SUM(C16:H16)</f>
        <v/>
      </c>
    </row>
    <row r="17" ht="13" customHeight="1">
      <c r="A17" s="8" t="inlineStr"/>
      <c r="B17" s="8" t="inlineStr">
        <is>
          <t xml:space="preserve">  BLOCK47　水道料金(オフィス）</t>
        </is>
      </c>
      <c r="C17" s="9" t="n"/>
      <c r="D17" s="9" t="n"/>
      <c r="E17" s="9" t="n">
        <v>20364</v>
      </c>
      <c r="F17" s="9" t="n">
        <v>20364</v>
      </c>
      <c r="G17" s="9" t="n">
        <v>5258</v>
      </c>
      <c r="H17" s="9" t="n"/>
      <c r="I17" s="10">
        <f>SUM(C17:H17)</f>
        <v/>
      </c>
    </row>
    <row r="18" ht="13" customHeight="1">
      <c r="A18" s="8" t="inlineStr"/>
      <c r="B18" s="8" t="inlineStr">
        <is>
          <t xml:space="preserve">  BLOCK47　ガス料金（給湯）</t>
        </is>
      </c>
      <c r="C18" s="9" t="n"/>
      <c r="D18" s="9" t="n"/>
      <c r="E18" s="9" t="n"/>
      <c r="F18" s="9" t="n">
        <v>226</v>
      </c>
      <c r="G18" s="9" t="n"/>
      <c r="H18" s="9" t="n"/>
      <c r="I18" s="10">
        <f>SUM(C18:H18)</f>
        <v/>
      </c>
    </row>
    <row r="19" ht="13" customHeight="1">
      <c r="A19" s="8" t="inlineStr"/>
      <c r="B19" s="8" t="inlineStr">
        <is>
          <t xml:space="preserve">  BLOCK47　水道料金(共用部）</t>
        </is>
      </c>
      <c r="C19" s="9" t="n"/>
      <c r="D19" s="9" t="n"/>
      <c r="E19" s="9" t="n"/>
      <c r="F19" s="9" t="n"/>
      <c r="G19" s="9" t="n">
        <v>20631</v>
      </c>
      <c r="H19" s="9" t="n"/>
      <c r="I19" s="10">
        <f>SUM(C19:H19)</f>
        <v/>
      </c>
    </row>
    <row r="20" ht="13" customHeight="1">
      <c r="A20" s="8" t="inlineStr">
        <is>
          <t>6</t>
        </is>
      </c>
      <c r="B20" s="8" t="inlineStr">
        <is>
          <t xml:space="preserve">  東芝エレベーター（保守）</t>
        </is>
      </c>
      <c r="C20" s="14" t="n">
        <v>14300</v>
      </c>
      <c r="D20" s="14" t="n">
        <v>14300</v>
      </c>
      <c r="E20" s="14" t="n">
        <v>14300</v>
      </c>
      <c r="F20" s="14" t="n">
        <v>14300</v>
      </c>
      <c r="G20" s="14" t="n">
        <v>14300</v>
      </c>
      <c r="H20" s="14" t="n">
        <v>14300</v>
      </c>
      <c r="I20" s="10">
        <f>SUM(C20:H20)</f>
        <v/>
      </c>
    </row>
    <row r="21" ht="13" customHeight="1">
      <c r="A21" s="8" t="inlineStr">
        <is>
          <t>27</t>
        </is>
      </c>
      <c r="B21" s="8" t="inlineStr">
        <is>
          <t xml:space="preserve">  オリエント　O2　71回払い</t>
        </is>
      </c>
      <c r="C21" s="14" t="n">
        <v>60500</v>
      </c>
      <c r="D21" s="14" t="n">
        <v>60500</v>
      </c>
      <c r="E21" s="14" t="n">
        <v>60500</v>
      </c>
      <c r="F21" s="14" t="n">
        <v>60500</v>
      </c>
      <c r="G21" s="14" t="n">
        <v>60500</v>
      </c>
      <c r="H21" s="14" t="n">
        <v>60500</v>
      </c>
      <c r="I21" s="10">
        <f>SUM(C21:H21)</f>
        <v/>
      </c>
    </row>
    <row r="22" ht="13" customHeight="1">
      <c r="A22" s="8" t="inlineStr">
        <is>
          <t>28</t>
        </is>
      </c>
      <c r="B22" s="8" t="inlineStr">
        <is>
          <t xml:space="preserve">  電気料　不動産共用部　など</t>
        </is>
      </c>
      <c r="C22" s="9" t="n">
        <v>55079</v>
      </c>
      <c r="D22" s="9" t="n">
        <v>59432</v>
      </c>
      <c r="E22" s="9" t="n">
        <v>53156</v>
      </c>
      <c r="F22" s="9" t="n"/>
      <c r="G22" s="9" t="n">
        <v>15373</v>
      </c>
      <c r="H22" s="9" t="n">
        <v>46599</v>
      </c>
      <c r="I22" s="10">
        <f>SUM(C22:H22)</f>
        <v/>
      </c>
    </row>
    <row r="23" ht="13" customHeight="1">
      <c r="A23" s="8" t="inlineStr">
        <is>
          <t>末</t>
        </is>
      </c>
      <c r="B23" s="8" t="inlineStr">
        <is>
          <t xml:space="preserve">  1400万円　ウェルピア（89回〜92回）</t>
        </is>
      </c>
      <c r="C23" s="9" t="n">
        <v>121931</v>
      </c>
      <c r="D23" s="9" t="n">
        <v>121559</v>
      </c>
      <c r="E23" s="9" t="n">
        <v>121557</v>
      </c>
      <c r="F23" s="9" t="n">
        <v>121197</v>
      </c>
      <c r="G23" s="9" t="n"/>
      <c r="H23" s="9" t="n"/>
      <c r="I23" s="10">
        <f>SUM(C23:H23)</f>
        <v/>
      </c>
    </row>
    <row r="24" ht="13" customHeight="1">
      <c r="A24" s="8" t="inlineStr"/>
      <c r="B24" s="8" t="inlineStr">
        <is>
          <t xml:space="preserve">  覚建築（1回〜2回）</t>
        </is>
      </c>
      <c r="C24" s="9" t="n">
        <v>305000</v>
      </c>
      <c r="D24" s="9" t="n">
        <v>300000</v>
      </c>
      <c r="E24" s="9" t="n"/>
      <c r="F24" s="9" t="n"/>
      <c r="G24" s="9" t="n"/>
      <c r="H24" s="9" t="n"/>
      <c r="I24" s="10">
        <f>SUM(C24:H24)</f>
        <v/>
      </c>
    </row>
    <row r="25" ht="13" customHeight="1">
      <c r="A25" s="8" t="inlineStr"/>
      <c r="B25" s="8" t="inlineStr">
        <is>
          <t xml:space="preserve">  全保連　立替(グットライフ東京）</t>
        </is>
      </c>
      <c r="C25" s="9" t="n">
        <v>115720</v>
      </c>
      <c r="D25" s="9" t="n"/>
      <c r="E25" s="9" t="n"/>
      <c r="F25" s="9" t="n"/>
      <c r="G25" s="9" t="n"/>
      <c r="H25" s="9" t="n"/>
      <c r="I25" s="10">
        <f>SUM(C25:H25)</f>
        <v/>
      </c>
    </row>
    <row r="26" ht="13" customHeight="1">
      <c r="A26" s="8" t="inlineStr"/>
      <c r="B26" s="8" t="inlineStr">
        <is>
          <t xml:space="preserve">  加藤造園</t>
        </is>
      </c>
      <c r="C26" s="9" t="n">
        <v>45100</v>
      </c>
      <c r="D26" s="9" t="n"/>
      <c r="E26" s="9" t="n"/>
      <c r="F26" s="9" t="n"/>
      <c r="G26" s="9" t="n"/>
      <c r="H26" s="9" t="n"/>
      <c r="I26" s="10">
        <f>SUM(C26:H26)</f>
        <v/>
      </c>
    </row>
    <row r="27" ht="13" customHeight="1">
      <c r="A27" s="8" t="inlineStr"/>
      <c r="B27" s="8" t="inlineStr">
        <is>
          <t xml:space="preserve">  NP　パンフレット</t>
        </is>
      </c>
      <c r="C27" s="9" t="n">
        <v>2844</v>
      </c>
      <c r="D27" s="9" t="n"/>
      <c r="E27" s="9" t="n"/>
      <c r="F27" s="9" t="n"/>
      <c r="G27" s="9" t="n"/>
      <c r="H27" s="9" t="n"/>
      <c r="I27" s="10">
        <f>SUM(C27:H27)</f>
        <v/>
      </c>
    </row>
    <row r="28" ht="13" customHeight="1">
      <c r="A28" s="8" t="inlineStr"/>
      <c r="B28" s="8" t="inlineStr">
        <is>
          <t xml:space="preserve">  マルナカ建設</t>
        </is>
      </c>
      <c r="C28" s="9" t="n">
        <v>39600</v>
      </c>
      <c r="D28" s="9" t="n"/>
      <c r="E28" s="9" t="n"/>
      <c r="F28" s="9" t="n"/>
      <c r="G28" s="9" t="n"/>
      <c r="H28" s="9" t="n"/>
      <c r="I28" s="10">
        <f>SUM(C28:H28)</f>
        <v/>
      </c>
    </row>
    <row r="29" ht="13" customHeight="1">
      <c r="A29" s="8" t="inlineStr"/>
      <c r="B29" s="8" t="inlineStr">
        <is>
          <t xml:space="preserve">  ネットプロテクション</t>
        </is>
      </c>
      <c r="C29" s="9" t="n">
        <v>2844</v>
      </c>
      <c r="D29" s="9" t="n"/>
      <c r="E29" s="9" t="n"/>
      <c r="F29" s="9" t="n"/>
      <c r="G29" s="9" t="n"/>
      <c r="H29" s="9" t="n"/>
      <c r="I29" s="10">
        <f>SUM(C29:H29)</f>
        <v/>
      </c>
    </row>
    <row r="30" ht="13" customHeight="1">
      <c r="A30" s="8" t="inlineStr"/>
      <c r="B30" s="8" t="inlineStr">
        <is>
          <t xml:space="preserve">  水道受益者負担金　年4回（7.9.12.2）</t>
        </is>
      </c>
      <c r="C30" s="9" t="n"/>
      <c r="D30" s="9" t="n"/>
      <c r="E30" s="9" t="n">
        <v>18810</v>
      </c>
      <c r="F30" s="9" t="n"/>
      <c r="G30" s="9" t="n"/>
      <c r="H30" s="9" t="n"/>
      <c r="I30" s="10">
        <f>SUM(C30:H30)</f>
        <v/>
      </c>
    </row>
    <row r="31" ht="13" customHeight="1">
      <c r="A31" s="8" t="inlineStr"/>
      <c r="B31" s="8" t="inlineStr">
        <is>
          <t xml:space="preserve">  なるおかサイクル　盆踊り景品</t>
        </is>
      </c>
      <c r="C31" s="9" t="n"/>
      <c r="D31" s="9" t="n"/>
      <c r="E31" s="9" t="n"/>
      <c r="F31" s="9" t="n">
        <v>35970</v>
      </c>
      <c r="G31" s="9" t="n"/>
      <c r="H31" s="9" t="n"/>
      <c r="I31" s="10">
        <f>SUM(C31:H31)</f>
        <v/>
      </c>
    </row>
    <row r="32" ht="13" customHeight="1">
      <c r="A32" s="8" t="inlineStr"/>
      <c r="B32" s="8" t="inlineStr">
        <is>
          <t xml:space="preserve">  高橋弁護士</t>
        </is>
      </c>
      <c r="C32" s="9" t="n"/>
      <c r="D32" s="9" t="n"/>
      <c r="E32" s="9" t="n"/>
      <c r="F32" s="9" t="n"/>
      <c r="G32" s="9" t="n">
        <v>319380</v>
      </c>
      <c r="H32" s="9" t="n"/>
      <c r="I32" s="10">
        <f>SUM(C32:H32)</f>
        <v/>
      </c>
    </row>
    <row r="33" ht="13" customHeight="1">
      <c r="A33" s="8" t="inlineStr"/>
      <c r="B33" s="8" t="inlineStr">
        <is>
          <t xml:space="preserve">  EC協賛金</t>
        </is>
      </c>
      <c r="C33" s="9" t="n"/>
      <c r="D33" s="9" t="n"/>
      <c r="E33" s="9" t="n"/>
      <c r="F33" s="9" t="n"/>
      <c r="G33" s="9" t="n">
        <v>5000</v>
      </c>
      <c r="H33" s="9" t="n"/>
      <c r="I33" s="10">
        <f>SUM(C33:H33)</f>
        <v/>
      </c>
    </row>
    <row r="34" ht="13" customHeight="1">
      <c r="A34" s="8" t="inlineStr"/>
      <c r="B34" s="8" t="inlineStr">
        <is>
          <t xml:space="preserve">  はしまる</t>
        </is>
      </c>
      <c r="C34" s="9" t="n"/>
      <c r="D34" s="9" t="n"/>
      <c r="E34" s="9" t="n"/>
      <c r="F34" s="9" t="n"/>
      <c r="G34" s="9" t="n"/>
      <c r="H34" s="9" t="n">
        <v>11000</v>
      </c>
      <c r="I34" s="10">
        <f>SUM(C34:H34)</f>
        <v/>
      </c>
    </row>
    <row r="35" ht="13" customHeight="1">
      <c r="A35" s="8" t="inlineStr"/>
      <c r="B35" s="8" t="inlineStr">
        <is>
          <t xml:space="preserve">  施設全体USEN　（5月100.980円）</t>
        </is>
      </c>
      <c r="C35" s="9" t="n"/>
      <c r="D35" s="9" t="n"/>
      <c r="E35" s="9" t="n"/>
      <c r="F35" s="9" t="n"/>
      <c r="G35" s="9" t="n"/>
      <c r="H35" s="9" t="n"/>
      <c r="I35" s="10">
        <f>SUM(C35:H35)</f>
        <v/>
      </c>
    </row>
    <row r="36" ht="12" customHeight="1">
      <c r="A36" s="11" t="n"/>
      <c r="B36" s="11" t="n"/>
      <c r="C36" s="12" t="n"/>
      <c r="D36" s="12" t="n"/>
      <c r="E36" s="12" t="n"/>
      <c r="F36" s="12" t="n"/>
      <c r="G36" s="12" t="n"/>
      <c r="H36" s="12" t="n"/>
      <c r="I36" s="13" t="n"/>
    </row>
    <row r="37" ht="14" customHeight="1">
      <c r="A37" s="4" t="n"/>
      <c r="B37" s="5" t="inlineStr">
        <is>
          <t>▶ 商信 自動振替</t>
        </is>
      </c>
      <c r="C37" s="6">
        <f>SUM(C38:C42)</f>
        <v/>
      </c>
      <c r="D37" s="6">
        <f>SUM(D38:D42)</f>
        <v/>
      </c>
      <c r="E37" s="6">
        <f>SUM(E38:E42)</f>
        <v/>
      </c>
      <c r="F37" s="6">
        <f>SUM(F38:F42)</f>
        <v/>
      </c>
      <c r="G37" s="6">
        <f>SUM(G38:G42)</f>
        <v/>
      </c>
      <c r="H37" s="6">
        <f>SUM(H38:H42)</f>
        <v/>
      </c>
      <c r="I37" s="7">
        <f>SUM(I38:I42)</f>
        <v/>
      </c>
    </row>
    <row r="38" ht="13" customHeight="1">
      <c r="A38" s="8" t="inlineStr">
        <is>
          <t>20</t>
        </is>
      </c>
      <c r="B38" s="8" t="inlineStr">
        <is>
          <t xml:space="preserve">  1900万円　46街区　事務所（87回〜92回）</t>
        </is>
      </c>
      <c r="C38" s="9" t="n">
        <v>161448</v>
      </c>
      <c r="D38" s="9" t="n">
        <v>161213</v>
      </c>
      <c r="E38" s="9" t="n">
        <v>160882</v>
      </c>
      <c r="F38" s="9" t="n">
        <v>160743</v>
      </c>
      <c r="G38" s="9" t="n">
        <v>160427</v>
      </c>
      <c r="H38" s="9" t="n">
        <v>160274</v>
      </c>
      <c r="I38" s="10">
        <f>SUM(C38:H38)</f>
        <v/>
      </c>
    </row>
    <row r="39" ht="13" customHeight="1">
      <c r="A39" s="8" t="inlineStr">
        <is>
          <t>20</t>
        </is>
      </c>
      <c r="B39" s="8" t="inlineStr">
        <is>
          <t xml:space="preserve">  5800万円　温しゃぶ（73回〜78回）</t>
        </is>
      </c>
      <c r="C39" s="9" t="n">
        <v>301948</v>
      </c>
      <c r="D39" s="9" t="n">
        <v>301588</v>
      </c>
      <c r="E39" s="9" t="n">
        <v>299318</v>
      </c>
      <c r="F39" s="9" t="n">
        <v>300869</v>
      </c>
      <c r="G39" s="9" t="n">
        <v>298662</v>
      </c>
      <c r="H39" s="9" t="n">
        <v>300150</v>
      </c>
      <c r="I39" s="10">
        <f>SUM(C39:H39)</f>
        <v/>
      </c>
    </row>
    <row r="40" ht="13" customHeight="1">
      <c r="A40" s="8" t="inlineStr">
        <is>
          <t>末</t>
        </is>
      </c>
      <c r="B40" s="8" t="inlineStr">
        <is>
          <t xml:space="preserve">  6000万円　BLOCK４７（32回〜37回）</t>
        </is>
      </c>
      <c r="C40" s="9" t="n">
        <v>333954</v>
      </c>
      <c r="D40" s="9" t="n">
        <v>333572</v>
      </c>
      <c r="E40" s="9" t="n">
        <v>330733</v>
      </c>
      <c r="F40" s="9" t="n">
        <v>332808</v>
      </c>
      <c r="G40" s="9" t="n">
        <v>329993</v>
      </c>
      <c r="H40" s="9" t="n">
        <v>332044</v>
      </c>
      <c r="I40" s="10">
        <f>SUM(C40:H40)</f>
        <v/>
      </c>
    </row>
    <row r="41" ht="13" customHeight="1">
      <c r="A41" s="8" t="inlineStr"/>
      <c r="B41" s="8" t="inlineStr">
        <is>
          <t xml:space="preserve">  1700万円　消費税（8回〜12回）</t>
        </is>
      </c>
      <c r="C41" s="9" t="n">
        <v>1500000</v>
      </c>
      <c r="D41" s="9" t="n">
        <v>1500000</v>
      </c>
      <c r="E41" s="9" t="n">
        <v>1400000</v>
      </c>
      <c r="F41" s="9" t="n">
        <v>1400000</v>
      </c>
      <c r="G41" s="9" t="n"/>
      <c r="H41" s="9" t="n"/>
      <c r="I41" s="10">
        <f>SUM(C41:H41)</f>
        <v/>
      </c>
    </row>
    <row r="42" ht="12" customHeight="1">
      <c r="A42" s="11" t="n"/>
      <c r="B42" s="11" t="n"/>
      <c r="C42" s="12" t="n"/>
      <c r="D42" s="12" t="n"/>
      <c r="E42" s="12" t="n"/>
      <c r="F42" s="12" t="n"/>
      <c r="G42" s="12" t="n"/>
      <c r="H42" s="12" t="n"/>
      <c r="I42" s="13" t="n"/>
    </row>
    <row r="43" ht="14" customHeight="1">
      <c r="A43" s="4" t="n"/>
      <c r="B43" s="5" t="inlineStr">
        <is>
          <t>▶ 当座立替払い</t>
        </is>
      </c>
      <c r="C43" s="6">
        <f>SUM(C44:C64)</f>
        <v/>
      </c>
      <c r="D43" s="6">
        <f>SUM(D44:D64)</f>
        <v/>
      </c>
      <c r="E43" s="6">
        <f>SUM(E44:E64)</f>
        <v/>
      </c>
      <c r="F43" s="6">
        <f>SUM(F44:F64)</f>
        <v/>
      </c>
      <c r="G43" s="6">
        <f>SUM(G44:G64)</f>
        <v/>
      </c>
      <c r="H43" s="6">
        <f>SUM(H44:H64)</f>
        <v/>
      </c>
      <c r="I43" s="7">
        <f>SUM(I44:I64)</f>
        <v/>
      </c>
    </row>
    <row r="44" ht="13" customHeight="1">
      <c r="A44" s="8" t="inlineStr">
        <is>
          <t>20</t>
        </is>
      </c>
      <c r="B44" s="8" t="inlineStr">
        <is>
          <t xml:space="preserve">  BLOCK47　中部電気保安協会</t>
        </is>
      </c>
      <c r="C44" s="14" t="n">
        <v>16511</v>
      </c>
      <c r="D44" s="14" t="n">
        <v>16511</v>
      </c>
      <c r="E44" s="14" t="n">
        <v>16511</v>
      </c>
      <c r="F44" s="14" t="n">
        <v>16511</v>
      </c>
      <c r="G44" s="14" t="n">
        <v>16511</v>
      </c>
      <c r="H44" s="14" t="n">
        <v>16511</v>
      </c>
      <c r="I44" s="10">
        <f>SUM(C44:H44)</f>
        <v/>
      </c>
    </row>
    <row r="45" ht="13" customHeight="1">
      <c r="A45" s="8" t="inlineStr">
        <is>
          <t>末</t>
        </is>
      </c>
      <c r="B45" s="8" t="inlineStr">
        <is>
          <t xml:space="preserve">  BLOCK４７　複合機　ゴラック</t>
        </is>
      </c>
      <c r="C45" s="9" t="n">
        <v>11902</v>
      </c>
      <c r="D45" s="9" t="n">
        <v>9233</v>
      </c>
      <c r="E45" s="9" t="n">
        <v>5087</v>
      </c>
      <c r="F45" s="9" t="n">
        <v>3508</v>
      </c>
      <c r="G45" s="9" t="n">
        <v>10571</v>
      </c>
      <c r="H45" s="9" t="n">
        <v>12752</v>
      </c>
      <c r="I45" s="10">
        <f>SUM(C45:H45)</f>
        <v/>
      </c>
    </row>
    <row r="46" ht="13" customHeight="1">
      <c r="A46" s="8" t="inlineStr"/>
      <c r="B46" s="8" t="inlineStr">
        <is>
          <t xml:space="preserve">  しんきんBLOCK47２F　複合機60回</t>
        </is>
      </c>
      <c r="C46" s="9" t="n"/>
      <c r="D46" s="9" t="n"/>
      <c r="E46" s="9" t="n">
        <v>10670</v>
      </c>
      <c r="F46" s="9" t="n"/>
      <c r="G46" s="9" t="n"/>
      <c r="H46" s="9" t="n"/>
      <c r="I46" s="10">
        <f>SUM(C46:H46)</f>
        <v/>
      </c>
    </row>
    <row r="47" ht="13" customHeight="1">
      <c r="A47" s="8" t="inlineStr">
        <is>
          <t>末</t>
        </is>
      </c>
      <c r="B47" s="8" t="inlineStr">
        <is>
          <t xml:space="preserve">  桑名セブンイレブン家賃収入</t>
        </is>
      </c>
      <c r="C47" s="14" t="n">
        <v>313550</v>
      </c>
      <c r="D47" s="14" t="n">
        <v>313550</v>
      </c>
      <c r="E47" s="14" t="n">
        <v>313550</v>
      </c>
      <c r="F47" s="14" t="n">
        <v>313550</v>
      </c>
      <c r="G47" s="14" t="n">
        <v>313550</v>
      </c>
      <c r="H47" s="14" t="n">
        <v>313550</v>
      </c>
      <c r="I47" s="10">
        <f>SUM(C47:H47)</f>
        <v/>
      </c>
    </row>
    <row r="48" ht="13" customHeight="1">
      <c r="A48" s="8" t="inlineStr">
        <is>
          <t>末</t>
        </is>
      </c>
      <c r="B48" s="8" t="inlineStr">
        <is>
          <t xml:space="preserve">  固定資産税（羽島市）</t>
        </is>
      </c>
      <c r="C48" s="14" t="n">
        <v>530000</v>
      </c>
      <c r="D48" s="14" t="n">
        <v>530000</v>
      </c>
      <c r="E48" s="14" t="n">
        <v>530000</v>
      </c>
      <c r="F48" s="14" t="n">
        <v>530000</v>
      </c>
      <c r="G48" s="14" t="n">
        <v>530000</v>
      </c>
      <c r="H48" s="14" t="n">
        <v>530000</v>
      </c>
      <c r="I48" s="10">
        <f>SUM(C48:H48)</f>
        <v/>
      </c>
    </row>
    <row r="49" ht="13" customHeight="1">
      <c r="A49" s="8" t="inlineStr"/>
      <c r="B49" s="8" t="inlineStr">
        <is>
          <t xml:space="preserve">  消費・法人税　初期返済　月次120万</t>
        </is>
      </c>
      <c r="C49" s="14" t="n">
        <v>1200000</v>
      </c>
      <c r="D49" s="14" t="n">
        <v>1200000</v>
      </c>
      <c r="E49" s="14" t="n">
        <v>1200000</v>
      </c>
      <c r="F49" s="14" t="n">
        <v>1200000</v>
      </c>
      <c r="G49" s="14" t="n">
        <v>1200000</v>
      </c>
      <c r="H49" s="14" t="n">
        <v>1200000</v>
      </c>
      <c r="I49" s="10">
        <f>SUM(C49:H49)</f>
        <v/>
      </c>
    </row>
    <row r="50" ht="13" customHeight="1">
      <c r="A50" s="8" t="inlineStr"/>
      <c r="B50" s="8" t="inlineStr">
        <is>
          <t xml:space="preserve">  ウェルピア（46,47,48,51,52管理費）</t>
        </is>
      </c>
      <c r="C50" s="14" t="n">
        <v>1000000</v>
      </c>
      <c r="D50" s="14" t="n">
        <v>1000000</v>
      </c>
      <c r="E50" s="14" t="n">
        <v>1000000</v>
      </c>
      <c r="F50" s="14" t="n">
        <v>1000000</v>
      </c>
      <c r="G50" s="14" t="n">
        <v>1000000</v>
      </c>
      <c r="H50" s="14" t="n">
        <v>1000000</v>
      </c>
      <c r="I50" s="10">
        <f>SUM(C50:H50)</f>
        <v/>
      </c>
    </row>
    <row r="51" ht="13" customHeight="1">
      <c r="A51" s="8" t="inlineStr">
        <is>
          <t>25</t>
        </is>
      </c>
      <c r="B51" s="8" t="inlineStr">
        <is>
          <t xml:space="preserve">  河村土地　R12.6.25迄（75回〜92回）</t>
        </is>
      </c>
      <c r="C51" s="9" t="n">
        <v>117697</v>
      </c>
      <c r="D51" s="9" t="n">
        <v>117485</v>
      </c>
      <c r="E51" s="9" t="n">
        <v>116878</v>
      </c>
      <c r="F51" s="9" t="n">
        <v>117062</v>
      </c>
      <c r="G51" s="9" t="n">
        <v>114008</v>
      </c>
      <c r="H51" s="9" t="n">
        <v>114097</v>
      </c>
      <c r="I51" s="10">
        <f>SUM(C51:H51)</f>
        <v/>
      </c>
    </row>
    <row r="52" ht="13" customHeight="1">
      <c r="A52" s="8" t="inlineStr">
        <is>
          <t>末</t>
        </is>
      </c>
      <c r="B52" s="8" t="inlineStr">
        <is>
          <t xml:space="preserve">  不動産振込　地権者</t>
        </is>
      </c>
      <c r="C52" s="9" t="n">
        <v>3128214</v>
      </c>
      <c r="D52" s="9" t="n">
        <v>3128214</v>
      </c>
      <c r="E52" s="9" t="n">
        <v>3128214</v>
      </c>
      <c r="F52" s="9" t="n">
        <v>3128214</v>
      </c>
      <c r="G52" s="9" t="n">
        <v>3190714</v>
      </c>
      <c r="H52" s="9" t="n">
        <v>3190714</v>
      </c>
      <c r="I52" s="10">
        <f>SUM(C52:H52)</f>
        <v/>
      </c>
    </row>
    <row r="53" ht="13" customHeight="1">
      <c r="A53" s="8" t="inlineStr"/>
      <c r="B53" s="8" t="inlineStr">
        <is>
          <t xml:space="preserve">  清芳屋</t>
        </is>
      </c>
      <c r="C53" s="9" t="n">
        <v>11840</v>
      </c>
      <c r="D53" s="9" t="n">
        <v>8590</v>
      </c>
      <c r="E53" s="9" t="n">
        <v>9700</v>
      </c>
      <c r="F53" s="9" t="n">
        <v>14980</v>
      </c>
      <c r="G53" s="9" t="n">
        <v>16030</v>
      </c>
      <c r="H53" s="9" t="n">
        <v>3960</v>
      </c>
      <c r="I53" s="10">
        <f>SUM(C53:H53)</f>
        <v/>
      </c>
    </row>
    <row r="54" ht="13" customHeight="1">
      <c r="A54" s="8" t="inlineStr">
        <is>
          <t>20</t>
        </is>
      </c>
      <c r="B54" s="8" t="inlineStr">
        <is>
          <t xml:space="preserve">  不動産部門　社員給与（恩田）</t>
        </is>
      </c>
      <c r="C54" s="14" t="n">
        <v>583334</v>
      </c>
      <c r="D54" s="14" t="n">
        <v>583334</v>
      </c>
      <c r="E54" s="14" t="n">
        <v>583334</v>
      </c>
      <c r="F54" s="14" t="n">
        <v>583334</v>
      </c>
      <c r="G54" s="14" t="n">
        <v>583334</v>
      </c>
      <c r="H54" s="14" t="n"/>
      <c r="I54" s="10">
        <f>SUM(C54:H54)</f>
        <v/>
      </c>
    </row>
    <row r="55" ht="13" customHeight="1">
      <c r="A55" s="8" t="inlineStr"/>
      <c r="B55" s="8" t="inlineStr">
        <is>
          <t xml:space="preserve">  厚生年金　会社負担</t>
        </is>
      </c>
      <c r="C55" s="14" t="n">
        <v>91176</v>
      </c>
      <c r="D55" s="14" t="n">
        <v>91176</v>
      </c>
      <c r="E55" s="14" t="n">
        <v>91176</v>
      </c>
      <c r="F55" s="14" t="n">
        <v>91176</v>
      </c>
      <c r="G55" s="14" t="n">
        <v>91176</v>
      </c>
      <c r="H55" s="14" t="n"/>
      <c r="I55" s="10">
        <f>SUM(C55:H55)</f>
        <v/>
      </c>
    </row>
    <row r="56" ht="13" customHeight="1">
      <c r="A56" s="8" t="inlineStr"/>
      <c r="B56" s="8" t="inlineStr">
        <is>
          <t xml:space="preserve">  営業交通費</t>
        </is>
      </c>
      <c r="C56" s="9" t="n">
        <v>17849</v>
      </c>
      <c r="D56" s="9" t="n">
        <v>22765</v>
      </c>
      <c r="E56" s="9" t="n">
        <v>14471</v>
      </c>
      <c r="F56" s="9" t="n">
        <v>17559</v>
      </c>
      <c r="G56" s="9" t="n">
        <v>19546</v>
      </c>
      <c r="H56" s="9" t="n"/>
      <c r="I56" s="10">
        <f>SUM(C56:H56)</f>
        <v/>
      </c>
    </row>
    <row r="57" ht="13" customHeight="1">
      <c r="A57" s="8" t="inlineStr">
        <is>
          <t>25</t>
        </is>
      </c>
      <c r="B57" s="8" t="inlineStr">
        <is>
          <t xml:space="preserve">  三浦土地　R12.5.25迄（75回〜78回）</t>
        </is>
      </c>
      <c r="C57" s="9" t="n">
        <v>86290</v>
      </c>
      <c r="D57" s="9" t="n">
        <v>86135</v>
      </c>
      <c r="E57" s="9" t="n">
        <v>85690</v>
      </c>
      <c r="F57" s="9" t="n">
        <v>85824</v>
      </c>
      <c r="G57" s="9" t="n"/>
      <c r="H57" s="9" t="n"/>
      <c r="I57" s="10">
        <f>SUM(C57:H57)</f>
        <v/>
      </c>
    </row>
    <row r="58" ht="13" customHeight="1">
      <c r="A58" s="8" t="inlineStr"/>
      <c r="B58" s="8" t="inlineStr">
        <is>
          <t xml:space="preserve">  綜合警備</t>
        </is>
      </c>
      <c r="C58" s="14" t="n"/>
      <c r="D58" s="14" t="n">
        <v>64350</v>
      </c>
      <c r="E58" s="14" t="n"/>
      <c r="F58" s="14" t="n"/>
      <c r="G58" s="14" t="n">
        <v>64350</v>
      </c>
      <c r="H58" s="14" t="n"/>
      <c r="I58" s="10">
        <f>SUM(C58:H58)</f>
        <v/>
      </c>
    </row>
    <row r="59" ht="13" customHeight="1">
      <c r="A59" s="8" t="inlineStr"/>
      <c r="B59" s="8" t="inlineStr">
        <is>
          <t xml:space="preserve">  その他　不動産月末当座支払い振込</t>
        </is>
      </c>
      <c r="C59" s="9" t="n"/>
      <c r="D59" s="9" t="n"/>
      <c r="E59" s="9" t="n"/>
      <c r="F59" s="9" t="n"/>
      <c r="G59" s="9" t="n"/>
      <c r="H59" s="9" t="n">
        <v>46200</v>
      </c>
      <c r="I59" s="10">
        <f>SUM(C59:H59)</f>
        <v/>
      </c>
    </row>
    <row r="60" ht="13" customHeight="1">
      <c r="A60" s="8" t="inlineStr"/>
      <c r="B60" s="8" t="inlineStr">
        <is>
          <t xml:space="preserve">  GOLUCK　ウェルピア</t>
        </is>
      </c>
      <c r="C60" s="9" t="n"/>
      <c r="D60" s="9" t="n"/>
      <c r="E60" s="9" t="n">
        <v>10208</v>
      </c>
      <c r="F60" s="9" t="n"/>
      <c r="G60" s="9" t="n"/>
      <c r="H60" s="9" t="n"/>
      <c r="I60" s="10">
        <f>SUM(C60:H60)</f>
        <v/>
      </c>
    </row>
    <row r="61" ht="13" customHeight="1">
      <c r="A61" s="8" t="inlineStr"/>
      <c r="B61" s="8" t="inlineStr">
        <is>
          <t xml:space="preserve">  創舎</t>
        </is>
      </c>
      <c r="C61" s="9" t="n"/>
      <c r="D61" s="9" t="n"/>
      <c r="E61" s="9" t="n"/>
      <c r="F61" s="9" t="n"/>
      <c r="G61" s="9" t="n"/>
      <c r="H61" s="9" t="n"/>
      <c r="I61" s="10">
        <f>SUM(C61:H61)</f>
        <v/>
      </c>
    </row>
    <row r="62" ht="13" customHeight="1">
      <c r="A62" s="8" t="inlineStr"/>
      <c r="B62" s="8" t="inlineStr">
        <is>
          <t xml:space="preserve">  寿食品</t>
        </is>
      </c>
      <c r="C62" s="9" t="n"/>
      <c r="D62" s="9" t="n"/>
      <c r="E62" s="9" t="n"/>
      <c r="F62" s="9" t="n"/>
      <c r="G62" s="9" t="n"/>
      <c r="H62" s="9" t="n"/>
      <c r="I62" s="10">
        <f>SUM(C62:H62)</f>
        <v/>
      </c>
    </row>
    <row r="63" ht="13" customHeight="1">
      <c r="A63" s="8" t="inlineStr"/>
      <c r="B63" s="8" t="inlineStr">
        <is>
          <t xml:space="preserve">  ヤマト　宅急便</t>
        </is>
      </c>
      <c r="C63" s="9" t="n"/>
      <c r="D63" s="9" t="n"/>
      <c r="E63" s="9" t="n"/>
      <c r="F63" s="9" t="n"/>
      <c r="G63" s="9" t="n"/>
      <c r="H63" s="9" t="n"/>
      <c r="I63" s="10">
        <f>SUM(C63:H63)</f>
        <v/>
      </c>
    </row>
    <row r="64" ht="12" customHeight="1">
      <c r="A64" s="11" t="n"/>
      <c r="B64" s="11" t="n"/>
      <c r="C64" s="12" t="n"/>
      <c r="D64" s="12" t="n"/>
      <c r="E64" s="12" t="n"/>
      <c r="F64" s="12" t="n"/>
      <c r="G64" s="12" t="n"/>
      <c r="H64" s="12" t="n"/>
      <c r="I64" s="13" t="n"/>
    </row>
    <row r="65" ht="14" customHeight="1">
      <c r="A65" s="4" t="n"/>
      <c r="B65" s="5" t="inlineStr">
        <is>
          <t>▶ ヤマト　宅急便</t>
        </is>
      </c>
      <c r="C65" s="6">
        <f>SUM(C66:C69)</f>
        <v/>
      </c>
      <c r="D65" s="6">
        <f>SUM(D66:D69)</f>
        <v/>
      </c>
      <c r="E65" s="6">
        <f>SUM(E66:E69)</f>
        <v/>
      </c>
      <c r="F65" s="6">
        <f>SUM(F66:F69)</f>
        <v/>
      </c>
      <c r="G65" s="6">
        <f>SUM(G66:G69)</f>
        <v/>
      </c>
      <c r="H65" s="6">
        <f>SUM(H66:H69)</f>
        <v/>
      </c>
      <c r="I65" s="7">
        <f>SUM(I66:I69)</f>
        <v/>
      </c>
    </row>
    <row r="66" ht="13" customHeight="1">
      <c r="A66" s="8" t="inlineStr"/>
      <c r="B66" s="8" t="inlineStr">
        <is>
          <t xml:space="preserve">  しんきんBLOCK47２F　複合機60回</t>
        </is>
      </c>
      <c r="C66" s="14" t="n">
        <v>10670</v>
      </c>
      <c r="D66" s="14" t="n">
        <v>10670</v>
      </c>
      <c r="E66" s="14" t="n"/>
      <c r="F66" s="14" t="n">
        <v>10670</v>
      </c>
      <c r="G66" s="14" t="n">
        <v>10670</v>
      </c>
      <c r="H66" s="14" t="n">
        <v>10670</v>
      </c>
      <c r="I66" s="10">
        <f>SUM(C66:H66)</f>
        <v/>
      </c>
    </row>
    <row r="67" ht="13" customHeight="1">
      <c r="A67" s="8" t="inlineStr"/>
      <c r="B67" s="8" t="inlineStr">
        <is>
          <t xml:space="preserve">  GOLUCK　ウェルピア</t>
        </is>
      </c>
      <c r="C67" s="14" t="n">
        <v>10208</v>
      </c>
      <c r="D67" s="14" t="n">
        <v>10208</v>
      </c>
      <c r="E67" s="14" t="n"/>
      <c r="F67" s="14" t="n">
        <v>10208</v>
      </c>
      <c r="G67" s="14" t="n">
        <v>10208</v>
      </c>
      <c r="H67" s="14" t="n">
        <v>10208</v>
      </c>
      <c r="I67" s="10">
        <f>SUM(C67:H67)</f>
        <v/>
      </c>
    </row>
    <row r="68" ht="13" customHeight="1">
      <c r="A68" s="8" t="inlineStr"/>
      <c r="B68" s="8" t="inlineStr">
        <is>
          <t xml:space="preserve">  ウェルピア　水道（偶数月）</t>
        </is>
      </c>
      <c r="C68" s="9" t="n"/>
      <c r="D68" s="9" t="n"/>
      <c r="E68" s="9" t="n"/>
      <c r="F68" s="9" t="n"/>
      <c r="G68" s="9" t="n"/>
      <c r="H68" s="9" t="n"/>
      <c r="I68" s="10">
        <f>SUM(C68:H68)</f>
        <v/>
      </c>
    </row>
    <row r="69" ht="1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3" t="n"/>
    </row>
    <row r="70" ht="14" customHeight="1">
      <c r="A70" s="4" t="n"/>
      <c r="B70" s="5" t="inlineStr">
        <is>
          <t>▶ ガーデンM保険年払（10月1.604.140）</t>
        </is>
      </c>
      <c r="C70" s="6">
        <f>SUM(C71:C72)</f>
        <v/>
      </c>
      <c r="D70" s="6">
        <f>SUM(D71:D72)</f>
        <v/>
      </c>
      <c r="E70" s="6">
        <f>SUM(E71:E72)</f>
        <v/>
      </c>
      <c r="F70" s="6">
        <f>SUM(F71:F72)</f>
        <v/>
      </c>
      <c r="G70" s="6">
        <f>SUM(G71:G72)</f>
        <v/>
      </c>
      <c r="H70" s="6">
        <f>SUM(H71:H72)</f>
        <v/>
      </c>
      <c r="I70" s="7">
        <f>SUM(I71:I72)</f>
        <v/>
      </c>
    </row>
    <row r="71" ht="13" customHeight="1">
      <c r="A71" s="8" t="inlineStr"/>
      <c r="B71" s="8" t="inlineStr">
        <is>
          <t xml:space="preserve">  BLOCK保険　月払　50380/2600</t>
        </is>
      </c>
      <c r="C71" s="14" t="n">
        <v>50380</v>
      </c>
      <c r="D71" s="14" t="n">
        <v>50380</v>
      </c>
      <c r="E71" s="14" t="n"/>
      <c r="F71" s="14" t="n"/>
      <c r="G71" s="14" t="n"/>
      <c r="H71" s="14" t="n"/>
      <c r="I71" s="10">
        <f>SUM(C71:H71)</f>
        <v/>
      </c>
    </row>
    <row r="72" ht="12" customHeight="1">
      <c r="A72" s="11" t="n"/>
      <c r="B72" s="11" t="n"/>
      <c r="C72" s="12" t="n"/>
      <c r="D72" s="12" t="n"/>
      <c r="E72" s="12" t="n"/>
      <c r="F72" s="12" t="n"/>
      <c r="G72" s="12" t="n"/>
      <c r="H72" s="12" t="n"/>
      <c r="I72" s="13" t="n"/>
    </row>
    <row r="73" ht="14" customHeight="1">
      <c r="A73" s="4" t="n"/>
      <c r="B73" s="5" t="inlineStr">
        <is>
          <t>▶ 大共 自動振替</t>
        </is>
      </c>
      <c r="C73" s="6">
        <f>SUM(C74:C82)</f>
        <v/>
      </c>
      <c r="D73" s="6">
        <f>SUM(D74:D82)</f>
        <v/>
      </c>
      <c r="E73" s="6">
        <f>SUM(E74:E82)</f>
        <v/>
      </c>
      <c r="F73" s="6">
        <f>SUM(F74:F82)</f>
        <v/>
      </c>
      <c r="G73" s="6">
        <f>SUM(G74:G82)</f>
        <v/>
      </c>
      <c r="H73" s="6">
        <f>SUM(H74:H82)</f>
        <v/>
      </c>
      <c r="I73" s="7">
        <f>SUM(I74:I82)</f>
        <v/>
      </c>
    </row>
    <row r="74" ht="13" customHeight="1">
      <c r="A74" s="8" t="inlineStr">
        <is>
          <t>5</t>
        </is>
      </c>
      <c r="B74" s="8" t="inlineStr">
        <is>
          <t xml:space="preserve">  2700万円R17.8.5迄52安藤（119回〜124回）</t>
        </is>
      </c>
      <c r="C74" s="9" t="n">
        <v>133049</v>
      </c>
      <c r="D74" s="9" t="n">
        <v>134284</v>
      </c>
      <c r="E74" s="9" t="n">
        <v>134103</v>
      </c>
      <c r="F74" s="9" t="n">
        <v>133230</v>
      </c>
      <c r="G74" s="9" t="n">
        <v>133055</v>
      </c>
      <c r="H74" s="9" t="n">
        <v>133558</v>
      </c>
      <c r="I74" s="10">
        <f>SUM(C74:H74)</f>
        <v/>
      </c>
    </row>
    <row r="75" ht="13" customHeight="1">
      <c r="A75" s="8" t="inlineStr">
        <is>
          <t>5</t>
        </is>
      </c>
      <c r="B75" s="8" t="inlineStr">
        <is>
          <t xml:space="preserve">  3370万円　番土地（76回〜81回）</t>
        </is>
      </c>
      <c r="C75" s="9" t="n">
        <v>175253</v>
      </c>
      <c r="D75" s="9" t="n">
        <v>177423</v>
      </c>
      <c r="E75" s="9" t="n">
        <v>177197</v>
      </c>
      <c r="F75" s="9" t="n">
        <v>175793</v>
      </c>
      <c r="G75" s="9" t="n">
        <v>175574</v>
      </c>
      <c r="H75" s="9" t="n">
        <v>176516</v>
      </c>
      <c r="I75" s="10">
        <f>SUM(C75:H75)</f>
        <v/>
      </c>
    </row>
    <row r="76" ht="13" customHeight="1">
      <c r="A76" s="8" t="inlineStr">
        <is>
          <t>末</t>
        </is>
      </c>
      <c r="B76" s="8" t="inlineStr">
        <is>
          <t xml:space="preserve">  1400万円Ｒ22.10.5　藤根（57回〜62回）</t>
        </is>
      </c>
      <c r="C76" s="9" t="n">
        <v>78456</v>
      </c>
      <c r="D76" s="9" t="n">
        <v>79526</v>
      </c>
      <c r="E76" s="9" t="n">
        <v>79427</v>
      </c>
      <c r="F76" s="9" t="n">
        <v>78753</v>
      </c>
      <c r="G76" s="9" t="n">
        <v>78657</v>
      </c>
      <c r="H76" s="9" t="n">
        <v>79129</v>
      </c>
      <c r="I76" s="10">
        <f>SUM(C76:H76)</f>
        <v/>
      </c>
    </row>
    <row r="77" ht="13" customHeight="1">
      <c r="A77" s="8" t="inlineStr">
        <is>
          <t>末</t>
        </is>
      </c>
      <c r="B77" s="8" t="inlineStr">
        <is>
          <t xml:space="preserve">  51.52街区　9800万円（101回〜106回）</t>
        </is>
      </c>
      <c r="C77" s="9" t="n">
        <v>512559</v>
      </c>
      <c r="D77" s="9" t="n">
        <v>502076</v>
      </c>
      <c r="E77" s="9" t="n">
        <v>507836</v>
      </c>
      <c r="F77" s="9" t="n">
        <v>507108</v>
      </c>
      <c r="G77" s="9" t="n">
        <v>519075</v>
      </c>
      <c r="H77" s="9" t="n">
        <v>496203</v>
      </c>
      <c r="I77" s="10">
        <f>SUM(C77:H77)</f>
        <v/>
      </c>
    </row>
    <row r="78" ht="13" customHeight="1">
      <c r="A78" s="8" t="inlineStr">
        <is>
          <t>末</t>
        </is>
      </c>
      <c r="B78" s="8" t="inlineStr">
        <is>
          <t xml:space="preserve">  BLOCK47　6000万（32回〜37回）</t>
        </is>
      </c>
      <c r="C78" s="9" t="n">
        <v>343246</v>
      </c>
      <c r="D78" s="9" t="n">
        <v>334772</v>
      </c>
      <c r="E78" s="9" t="n">
        <v>339721</v>
      </c>
      <c r="F78" s="9" t="n">
        <v>339306</v>
      </c>
      <c r="G78" s="9" t="n">
        <v>349458</v>
      </c>
      <c r="H78" s="9" t="n">
        <v>330592</v>
      </c>
      <c r="I78" s="10">
        <f>SUM(C78:H78)</f>
        <v/>
      </c>
    </row>
    <row r="79" ht="13" customHeight="1">
      <c r="A79" s="8" t="inlineStr"/>
      <c r="B79" s="8" t="inlineStr">
        <is>
          <t xml:space="preserve">  BLOCK47　２F厨房　共友R9.3まで</t>
        </is>
      </c>
      <c r="C79" s="14" t="n">
        <v>49610</v>
      </c>
      <c r="D79" s="14" t="n">
        <v>49610</v>
      </c>
      <c r="E79" s="14" t="n">
        <v>49610</v>
      </c>
      <c r="F79" s="14" t="n">
        <v>49610</v>
      </c>
      <c r="G79" s="14" t="n">
        <v>49610</v>
      </c>
      <c r="H79" s="14" t="n">
        <v>49610</v>
      </c>
      <c r="I79" s="10">
        <f>SUM(C79:H79)</f>
        <v/>
      </c>
    </row>
    <row r="80" ht="13" customHeight="1">
      <c r="A80" s="8" t="inlineStr">
        <is>
          <t>末</t>
        </is>
      </c>
      <c r="B80" s="8" t="inlineStr">
        <is>
          <t xml:space="preserve">  IPラウンジ　2000万（16回〜21回）</t>
        </is>
      </c>
      <c r="C80" s="9" t="n">
        <v>195104</v>
      </c>
      <c r="D80" s="9" t="n">
        <v>192224</v>
      </c>
      <c r="E80" s="9" t="n">
        <v>193701</v>
      </c>
      <c r="F80" s="9" t="n">
        <v>193439</v>
      </c>
      <c r="G80" s="9" t="n">
        <v>196554</v>
      </c>
      <c r="H80" s="9" t="n">
        <v>190406</v>
      </c>
      <c r="I80" s="10">
        <f>SUM(C80:H80)</f>
        <v/>
      </c>
    </row>
    <row r="81" ht="13" customHeight="1">
      <c r="A81" s="8" t="inlineStr">
        <is>
          <t>末</t>
        </is>
      </c>
      <c r="B81" s="8" t="inlineStr">
        <is>
          <t xml:space="preserve">  大共　積金分</t>
        </is>
      </c>
      <c r="C81" s="9" t="n">
        <v>100000</v>
      </c>
      <c r="D81" s="9" t="n">
        <v>100000</v>
      </c>
      <c r="E81" s="9" t="n">
        <v>100000</v>
      </c>
      <c r="F81" s="9" t="n">
        <v>200000</v>
      </c>
      <c r="G81" s="9" t="n">
        <v>200000</v>
      </c>
      <c r="H81" s="9" t="n">
        <v>200000</v>
      </c>
      <c r="I81" s="10">
        <f>SUM(C81:H81)</f>
        <v/>
      </c>
    </row>
    <row r="82" ht="12" customHeight="1">
      <c r="A82" s="11" t="n"/>
      <c r="B82" s="11" t="n"/>
      <c r="C82" s="12" t="n"/>
      <c r="D82" s="12" t="n"/>
      <c r="E82" s="12" t="n"/>
      <c r="F82" s="12" t="n"/>
      <c r="G82" s="12" t="n"/>
      <c r="H82" s="12" t="n"/>
      <c r="I82" s="13" t="n"/>
    </row>
    <row r="83" ht="14" customHeight="1">
      <c r="A83" s="4" t="n"/>
      <c r="B83" s="5" t="inlineStr">
        <is>
          <t>▶ 十六 自動振替</t>
        </is>
      </c>
      <c r="C83" s="6">
        <f>SUM(C84:C93)</f>
        <v/>
      </c>
      <c r="D83" s="6">
        <f>SUM(D84:D93)</f>
        <v/>
      </c>
      <c r="E83" s="6">
        <f>SUM(E84:E93)</f>
        <v/>
      </c>
      <c r="F83" s="6">
        <f>SUM(F84:F93)</f>
        <v/>
      </c>
      <c r="G83" s="6">
        <f>SUM(G84:G93)</f>
        <v/>
      </c>
      <c r="H83" s="6">
        <f>SUM(H84:H93)</f>
        <v/>
      </c>
      <c r="I83" s="7">
        <f>SUM(I84:I93)</f>
        <v/>
      </c>
    </row>
    <row r="84" ht="13" customHeight="1">
      <c r="A84" s="8" t="inlineStr"/>
      <c r="B84" s="8" t="inlineStr">
        <is>
          <t xml:space="preserve">  十六リース　block４７（設備リース）</t>
        </is>
      </c>
      <c r="C84" s="14" t="n">
        <v>165220</v>
      </c>
      <c r="D84" s="14" t="n">
        <v>165220</v>
      </c>
      <c r="E84" s="14" t="n">
        <v>165220</v>
      </c>
      <c r="F84" s="14" t="n">
        <v>165220</v>
      </c>
      <c r="G84" s="14" t="n">
        <v>165220</v>
      </c>
      <c r="H84" s="14" t="n">
        <v>165220</v>
      </c>
      <c r="I84" s="10">
        <f>SUM(C84:H84)</f>
        <v/>
      </c>
    </row>
    <row r="85" ht="13" customHeight="1">
      <c r="A85" s="8" t="inlineStr"/>
      <c r="B85" s="8" t="inlineStr">
        <is>
          <t xml:space="preserve">  十六リース　block４７（設備割賦）</t>
        </is>
      </c>
      <c r="C85" s="14" t="n">
        <v>281270</v>
      </c>
      <c r="D85" s="14" t="n">
        <v>281270</v>
      </c>
      <c r="E85" s="14" t="n">
        <v>281270</v>
      </c>
      <c r="F85" s="14" t="n">
        <v>281270</v>
      </c>
      <c r="G85" s="14" t="n">
        <v>281270</v>
      </c>
      <c r="H85" s="14" t="n">
        <v>281270</v>
      </c>
      <c r="I85" s="10">
        <f>SUM(C85:H85)</f>
        <v/>
      </c>
    </row>
    <row r="86" ht="13" customHeight="1">
      <c r="A86" s="8" t="inlineStr"/>
      <c r="B86" s="8" t="inlineStr">
        <is>
          <t xml:space="preserve">  十六リースblock４７（植栽）R9.3迄</t>
        </is>
      </c>
      <c r="C86" s="14" t="n">
        <v>29100</v>
      </c>
      <c r="D86" s="14" t="n">
        <v>29100</v>
      </c>
      <c r="E86" s="14" t="n">
        <v>29100</v>
      </c>
      <c r="F86" s="14" t="n">
        <v>29100</v>
      </c>
      <c r="G86" s="14" t="n">
        <v>29100</v>
      </c>
      <c r="H86" s="14" t="n">
        <v>29100</v>
      </c>
      <c r="I86" s="10">
        <f>SUM(C86:H86)</f>
        <v/>
      </c>
    </row>
    <row r="87" ht="13" customHeight="1">
      <c r="A87" s="8" t="inlineStr"/>
      <c r="B87" s="8" t="inlineStr">
        <is>
          <t xml:space="preserve">  ラーメン店券売機　60回　R4.11～R9.10</t>
        </is>
      </c>
      <c r="C87" s="14" t="n">
        <v>11660</v>
      </c>
      <c r="D87" s="14" t="n">
        <v>11660</v>
      </c>
      <c r="E87" s="14" t="n">
        <v>11660</v>
      </c>
      <c r="F87" s="14" t="n">
        <v>11660</v>
      </c>
      <c r="G87" s="14" t="n">
        <v>11660</v>
      </c>
      <c r="H87" s="14" t="n">
        <v>11660</v>
      </c>
      <c r="I87" s="10">
        <f>SUM(C87:H87)</f>
        <v/>
      </c>
    </row>
    <row r="88" ht="13" customHeight="1">
      <c r="A88" s="8" t="inlineStr"/>
      <c r="B88" s="8" t="inlineStr">
        <is>
          <t xml:space="preserve">  BLOCK防犯カメラ　60回　R4.11～R9.10</t>
        </is>
      </c>
      <c r="C88" s="14" t="n">
        <v>62150</v>
      </c>
      <c r="D88" s="14" t="n">
        <v>62150</v>
      </c>
      <c r="E88" s="14" t="n">
        <v>62150</v>
      </c>
      <c r="F88" s="14" t="n">
        <v>62150</v>
      </c>
      <c r="G88" s="14" t="n">
        <v>62150</v>
      </c>
      <c r="H88" s="14" t="n">
        <v>62150</v>
      </c>
      <c r="I88" s="10">
        <f>SUM(C88:H88)</f>
        <v/>
      </c>
    </row>
    <row r="89" ht="13" customHeight="1">
      <c r="A89" s="8" t="inlineStr"/>
      <c r="B89" s="8" t="inlineStr">
        <is>
          <t xml:space="preserve">  BLOCK47　6000万（32回〜37回）</t>
        </is>
      </c>
      <c r="C89" s="9" t="n">
        <v>342299</v>
      </c>
      <c r="D89" s="9" t="n">
        <v>333822</v>
      </c>
      <c r="E89" s="9" t="n">
        <v>338776</v>
      </c>
      <c r="F89" s="9" t="n">
        <v>338363</v>
      </c>
      <c r="G89" s="9" t="n">
        <v>348524</v>
      </c>
      <c r="H89" s="9" t="n">
        <v>329646</v>
      </c>
      <c r="I89" s="10">
        <f>SUM(C89:H89)</f>
        <v/>
      </c>
    </row>
    <row r="90" ht="13" customHeight="1">
      <c r="A90" s="8" t="inlineStr">
        <is>
          <t>20</t>
        </is>
      </c>
      <c r="B90" s="8" t="inlineStr">
        <is>
          <t xml:space="preserve">  積金（レジデンス保証金）</t>
        </is>
      </c>
      <c r="C90" s="9" t="n">
        <v>100000</v>
      </c>
      <c r="D90" s="9" t="n">
        <v>100000</v>
      </c>
      <c r="E90" s="9" t="n">
        <v>200000</v>
      </c>
      <c r="F90" s="9" t="n">
        <v>100000</v>
      </c>
      <c r="G90" s="9" t="n">
        <v>200000</v>
      </c>
      <c r="H90" s="9" t="n">
        <v>200000</v>
      </c>
      <c r="I90" s="10">
        <f>SUM(C90:H90)</f>
        <v/>
      </c>
    </row>
    <row r="91" ht="13" customHeight="1">
      <c r="A91" s="8" t="inlineStr">
        <is>
          <t>20</t>
        </is>
      </c>
      <c r="B91" s="8" t="inlineStr">
        <is>
          <t xml:space="preserve">  1億5千　レジデンス（96回〜101回）</t>
        </is>
      </c>
      <c r="C91" s="9" t="n">
        <v>796630</v>
      </c>
      <c r="D91" s="9" t="n">
        <v>785736</v>
      </c>
      <c r="E91" s="9" t="n">
        <v>763223</v>
      </c>
      <c r="F91" s="9" t="n">
        <v>774849</v>
      </c>
      <c r="G91" s="9" t="n">
        <v>777884</v>
      </c>
      <c r="H91" s="9" t="n">
        <v>764258</v>
      </c>
      <c r="I91" s="10">
        <f>SUM(C91:H91)</f>
        <v/>
      </c>
    </row>
    <row r="92" ht="13" customHeight="1">
      <c r="A92" s="8" t="inlineStr">
        <is>
          <t>30</t>
        </is>
      </c>
      <c r="B92" s="8" t="inlineStr">
        <is>
          <t xml:space="preserve">  51.52街区　9800万円（101回〜106回）</t>
        </is>
      </c>
      <c r="C92" s="9" t="n">
        <v>512559</v>
      </c>
      <c r="D92" s="9" t="n">
        <v>502075</v>
      </c>
      <c r="E92" s="9" t="n">
        <v>507836</v>
      </c>
      <c r="F92" s="9" t="n">
        <v>507108</v>
      </c>
      <c r="G92" s="9" t="n">
        <v>519075</v>
      </c>
      <c r="H92" s="9" t="n">
        <v>496203</v>
      </c>
      <c r="I92" s="10">
        <f>SUM(C92:H92)</f>
        <v/>
      </c>
    </row>
    <row r="93" ht="1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3" t="n"/>
    </row>
    <row r="94" ht="14" customHeight="1">
      <c r="A94" s="4" t="n"/>
      <c r="B94" s="5" t="inlineStr">
        <is>
          <t>▶ ウェルピア　水道（偶数月）</t>
        </is>
      </c>
      <c r="C94" s="6">
        <f>SUM(C95:C97)</f>
        <v/>
      </c>
      <c r="D94" s="6">
        <f>SUM(D95:D97)</f>
        <v/>
      </c>
      <c r="E94" s="6">
        <f>SUM(E95:E97)</f>
        <v/>
      </c>
      <c r="F94" s="6">
        <f>SUM(F95:F97)</f>
        <v/>
      </c>
      <c r="G94" s="6">
        <f>SUM(G95:G97)</f>
        <v/>
      </c>
      <c r="H94" s="6">
        <f>SUM(H95:H97)</f>
        <v/>
      </c>
      <c r="I94" s="7">
        <f>SUM(I95:I97)</f>
        <v/>
      </c>
    </row>
    <row r="95" ht="13" customHeight="1">
      <c r="A95" s="8" t="inlineStr"/>
      <c r="B95" s="8" t="inlineStr">
        <is>
          <t xml:space="preserve">  BLOCK保険　月払　50380/2600</t>
        </is>
      </c>
      <c r="C95" s="14" t="n"/>
      <c r="D95" s="14" t="n"/>
      <c r="E95" s="14" t="n">
        <v>50380</v>
      </c>
      <c r="F95" s="14" t="n">
        <v>50380</v>
      </c>
      <c r="G95" s="14" t="n">
        <v>50380</v>
      </c>
      <c r="H95" s="14" t="n">
        <v>50380</v>
      </c>
      <c r="I95" s="10">
        <f>SUM(C95:H95)</f>
        <v/>
      </c>
    </row>
    <row r="96" ht="13" customHeight="1">
      <c r="A96" s="8" t="inlineStr"/>
      <c r="B96" s="8" t="inlineStr">
        <is>
          <t xml:space="preserve">  ガーデンM保険年払（10月1.604.140）</t>
        </is>
      </c>
      <c r="C96" s="9" t="n"/>
      <c r="D96" s="9" t="n"/>
      <c r="E96" s="9" t="n"/>
      <c r="F96" s="9" t="n">
        <v>1605040</v>
      </c>
      <c r="G96" s="9" t="n"/>
      <c r="H96" s="9" t="n"/>
      <c r="I96" s="10">
        <f>SUM(C96:H96)</f>
        <v/>
      </c>
    </row>
    <row r="97" ht="1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3" t="n"/>
    </row>
    <row r="98" ht="15" customHeight="1">
      <c r="A98" s="15" t="n"/>
      <c r="B98" s="16" t="inlineStr">
        <is>
          <t>① 支出合計</t>
        </is>
      </c>
      <c r="C98" s="17">
        <f>C4+C37+C43+C65+C70+C73+C83+C94</f>
        <v/>
      </c>
      <c r="D98" s="17">
        <f>D4+D37+D43+D65+D70+D73+D83+D94</f>
        <v/>
      </c>
      <c r="E98" s="17">
        <f>E4+E37+E43+E65+E70+E73+E83+E94</f>
        <v/>
      </c>
      <c r="F98" s="17">
        <f>F4+F37+F43+F65+F70+F73+F83+F94</f>
        <v/>
      </c>
      <c r="G98" s="17">
        <f>G4+G37+G43+G65+G70+G73+G83+G94</f>
        <v/>
      </c>
      <c r="H98" s="17">
        <f>H4+H37+H43+H65+H70+H73+H83+H94</f>
        <v/>
      </c>
      <c r="I98" s="7">
        <f>I4+I37+I43+I65+I70+I73+I83+I94</f>
        <v/>
      </c>
    </row>
    <row r="100" ht="16" customHeight="1">
      <c r="A100" s="18" t="inlineStr">
        <is>
          <t>【 ② 収　入（売上・粗利・雑収入など） 】</t>
        </is>
      </c>
    </row>
    <row r="101" ht="14" customHeight="1">
      <c r="A101" s="19" t="n"/>
      <c r="B101" s="20" t="inlineStr">
        <is>
          <t>▶ テナント収入</t>
        </is>
      </c>
      <c r="C101" s="21">
        <f>SUM(C102:C122)</f>
        <v/>
      </c>
      <c r="D101" s="21">
        <f>SUM(D102:D122)</f>
        <v/>
      </c>
      <c r="E101" s="21">
        <f>SUM(E102:E122)</f>
        <v/>
      </c>
      <c r="F101" s="21">
        <f>SUM(F102:F122)</f>
        <v/>
      </c>
      <c r="G101" s="21">
        <f>SUM(G102:G122)</f>
        <v/>
      </c>
      <c r="H101" s="21">
        <f>SUM(H102:H122)</f>
        <v/>
      </c>
      <c r="I101" s="7">
        <f>SUM(I102:I122)</f>
        <v/>
      </c>
    </row>
    <row r="102" ht="13" customHeight="1">
      <c r="A102" s="22" t="inlineStr">
        <is>
          <t>46</t>
        </is>
      </c>
      <c r="B102" s="22" t="inlineStr">
        <is>
          <t xml:space="preserve">  アルファコンサルティング（保険）347050</t>
        </is>
      </c>
      <c r="C102" s="23" t="n">
        <v>366387</v>
      </c>
      <c r="D102" s="23" t="n">
        <v>378637</v>
      </c>
      <c r="E102" s="23" t="n">
        <v>372424</v>
      </c>
      <c r="F102" s="23" t="n">
        <v>376630</v>
      </c>
      <c r="G102" s="23" t="n">
        <v>369554</v>
      </c>
      <c r="H102" s="23" t="n">
        <v>370437</v>
      </c>
      <c r="I102" s="10">
        <f>SUM(C102:H102)</f>
        <v/>
      </c>
    </row>
    <row r="103" ht="13" customHeight="1">
      <c r="A103" s="22" t="inlineStr">
        <is>
          <t>46</t>
        </is>
      </c>
      <c r="B103" s="22" t="inlineStr">
        <is>
          <t xml:space="preserve">  レジデンス　日本シニア</t>
        </is>
      </c>
      <c r="C103" s="24" t="n">
        <v>3762000</v>
      </c>
      <c r="D103" s="24" t="n">
        <v>3762000</v>
      </c>
      <c r="E103" s="24" t="n">
        <v>3762000</v>
      </c>
      <c r="F103" s="24" t="n">
        <v>3762000</v>
      </c>
      <c r="G103" s="24" t="n">
        <v>3762000</v>
      </c>
      <c r="H103" s="24" t="n">
        <v>3762000</v>
      </c>
      <c r="I103" s="10">
        <f>SUM(C103:H103)</f>
        <v/>
      </c>
    </row>
    <row r="104" ht="13" customHeight="1">
      <c r="A104" s="22" t="inlineStr">
        <is>
          <t>46</t>
        </is>
      </c>
      <c r="B104" s="22" t="inlineStr">
        <is>
          <t xml:space="preserve">  日本シニアサービス　看板料</t>
        </is>
      </c>
      <c r="C104" s="24" t="n">
        <v>22000</v>
      </c>
      <c r="D104" s="24" t="n">
        <v>22000</v>
      </c>
      <c r="E104" s="24" t="n">
        <v>22000</v>
      </c>
      <c r="F104" s="24" t="n">
        <v>22000</v>
      </c>
      <c r="G104" s="24" t="n">
        <v>22000</v>
      </c>
      <c r="H104" s="24" t="n">
        <v>22000</v>
      </c>
      <c r="I104" s="10">
        <f>SUM(C104:H104)</f>
        <v/>
      </c>
    </row>
    <row r="105" ht="13" customHeight="1">
      <c r="A105" s="22" t="inlineStr">
        <is>
          <t>51</t>
        </is>
      </c>
      <c r="B105" s="22" t="inlineStr">
        <is>
          <t xml:space="preserve">  イマス　スターバックス</t>
        </is>
      </c>
      <c r="C105" s="24" t="n">
        <v>550000</v>
      </c>
      <c r="D105" s="24" t="n">
        <v>550000</v>
      </c>
      <c r="E105" s="24" t="n">
        <v>550000</v>
      </c>
      <c r="F105" s="24" t="n">
        <v>550000</v>
      </c>
      <c r="G105" s="24" t="n">
        <v>550000</v>
      </c>
      <c r="H105" s="24" t="n">
        <v>550000</v>
      </c>
      <c r="I105" s="10">
        <f>SUM(C105:H105)</f>
        <v/>
      </c>
    </row>
    <row r="106" ht="13" customHeight="1">
      <c r="A106" s="22" t="inlineStr">
        <is>
          <t>51</t>
        </is>
      </c>
      <c r="B106" s="22" t="inlineStr">
        <is>
          <t xml:space="preserve">  ムカイ　マリ　美容院　アガサ</t>
        </is>
      </c>
      <c r="C106" s="24" t="n">
        <v>231000</v>
      </c>
      <c r="D106" s="24" t="n">
        <v>231000</v>
      </c>
      <c r="E106" s="24" t="n">
        <v>231000</v>
      </c>
      <c r="F106" s="24" t="n">
        <v>231000</v>
      </c>
      <c r="G106" s="24" t="n">
        <v>231000</v>
      </c>
      <c r="H106" s="24" t="n">
        <v>231000</v>
      </c>
      <c r="I106" s="10">
        <f>SUM(C106:H106)</f>
        <v/>
      </c>
    </row>
    <row r="107" ht="13" customHeight="1">
      <c r="A107" s="22" t="inlineStr">
        <is>
          <t>51</t>
        </is>
      </c>
      <c r="B107" s="22" t="inlineStr">
        <is>
          <t xml:space="preserve">  ウェルピア羽島</t>
        </is>
      </c>
      <c r="C107" s="24" t="n">
        <v>360000</v>
      </c>
      <c r="D107" s="24" t="n">
        <v>360000</v>
      </c>
      <c r="E107" s="24" t="n">
        <v>360000</v>
      </c>
      <c r="F107" s="24" t="n">
        <v>360000</v>
      </c>
      <c r="G107" s="24" t="n">
        <v>360000</v>
      </c>
      <c r="H107" s="24" t="n">
        <v>360000</v>
      </c>
      <c r="I107" s="10">
        <f>SUM(C107:H107)</f>
        <v/>
      </c>
    </row>
    <row r="108" ht="13" customHeight="1">
      <c r="A108" s="22" t="inlineStr">
        <is>
          <t>51</t>
        </is>
      </c>
      <c r="B108" s="22" t="inlineStr">
        <is>
          <t xml:space="preserve">  センスオブリゾート　カラーガーデン</t>
        </is>
      </c>
      <c r="C108" s="24" t="n">
        <v>440000</v>
      </c>
      <c r="D108" s="24" t="n">
        <v>440000</v>
      </c>
      <c r="E108" s="24" t="n">
        <v>440000</v>
      </c>
      <c r="F108" s="24" t="n">
        <v>440000</v>
      </c>
      <c r="G108" s="24" t="n">
        <v>440000</v>
      </c>
      <c r="H108" s="24" t="n">
        <v>440000</v>
      </c>
      <c r="I108" s="10">
        <f>SUM(C108:H108)</f>
        <v/>
      </c>
    </row>
    <row r="109" ht="13" customHeight="1">
      <c r="A109" s="22" t="inlineStr">
        <is>
          <t>51</t>
        </is>
      </c>
      <c r="B109" s="22" t="inlineStr">
        <is>
          <t xml:space="preserve">  サーティーワン　ワイズ</t>
        </is>
      </c>
      <c r="C109" s="24" t="n">
        <v>268400</v>
      </c>
      <c r="D109" s="24" t="n">
        <v>268400</v>
      </c>
      <c r="E109" s="24" t="n">
        <v>268400</v>
      </c>
      <c r="F109" s="24" t="n">
        <v>268400</v>
      </c>
      <c r="G109" s="24" t="n">
        <v>268400</v>
      </c>
      <c r="H109" s="24" t="n">
        <v>268400</v>
      </c>
      <c r="I109" s="10">
        <f>SUM(C109:H109)</f>
        <v/>
      </c>
    </row>
    <row r="110" ht="13" customHeight="1">
      <c r="A110" s="22" t="inlineStr">
        <is>
          <t>52</t>
        </is>
      </c>
      <c r="B110" s="22" t="inlineStr">
        <is>
          <t xml:space="preserve">  レック　羽島漁港　赤から</t>
        </is>
      </c>
      <c r="C110" s="24" t="n">
        <v>1429450</v>
      </c>
      <c r="D110" s="24" t="n">
        <v>1429450</v>
      </c>
      <c r="E110" s="24" t="n">
        <v>1429450</v>
      </c>
      <c r="F110" s="24" t="n">
        <v>1429450</v>
      </c>
      <c r="G110" s="24" t="n">
        <v>1429450</v>
      </c>
      <c r="H110" s="24" t="n">
        <v>1429450</v>
      </c>
      <c r="I110" s="10">
        <f>SUM(C110:H110)</f>
        <v/>
      </c>
    </row>
    <row r="111" ht="13" customHeight="1">
      <c r="A111" s="22" t="inlineStr">
        <is>
          <t>52</t>
        </is>
      </c>
      <c r="B111" s="22" t="inlineStr">
        <is>
          <t xml:space="preserve">  フアステストダイニング（ざくろ）</t>
        </is>
      </c>
      <c r="C111" s="24" t="n">
        <v>755150</v>
      </c>
      <c r="D111" s="24" t="n">
        <v>755150</v>
      </c>
      <c r="E111" s="24" t="n">
        <v>755150</v>
      </c>
      <c r="F111" s="24" t="n">
        <v>755150</v>
      </c>
      <c r="G111" s="24" t="n">
        <v>755150</v>
      </c>
      <c r="H111" s="24" t="n">
        <v>755150</v>
      </c>
      <c r="I111" s="10">
        <f>SUM(C111:H111)</f>
        <v/>
      </c>
    </row>
    <row r="112" ht="13" customHeight="1">
      <c r="A112" s="22" t="inlineStr">
        <is>
          <t>52</t>
        </is>
      </c>
      <c r="B112" s="22" t="inlineStr">
        <is>
          <t xml:space="preserve">  鳥貴族　44,55万　3，96万</t>
        </is>
      </c>
      <c r="C112" s="24" t="n">
        <v>485100</v>
      </c>
      <c r="D112" s="24" t="n">
        <v>485100</v>
      </c>
      <c r="E112" s="24" t="n">
        <v>485100</v>
      </c>
      <c r="F112" s="24" t="n">
        <v>485100</v>
      </c>
      <c r="G112" s="24" t="n">
        <v>485100</v>
      </c>
      <c r="H112" s="24" t="n">
        <v>485100</v>
      </c>
      <c r="I112" s="10">
        <f>SUM(C112:H112)</f>
        <v/>
      </c>
    </row>
    <row r="113" ht="13" customHeight="1">
      <c r="A113" s="22" t="inlineStr">
        <is>
          <t>52</t>
        </is>
      </c>
      <c r="B113" s="22" t="inlineStr">
        <is>
          <t xml:space="preserve">  太陽食品</t>
        </is>
      </c>
      <c r="C113" s="24" t="n">
        <v>324500</v>
      </c>
      <c r="D113" s="24" t="n">
        <v>324500</v>
      </c>
      <c r="E113" s="24" t="n">
        <v>324500</v>
      </c>
      <c r="F113" s="24" t="n">
        <v>324500</v>
      </c>
      <c r="G113" s="24" t="n">
        <v>324500</v>
      </c>
      <c r="H113" s="24" t="n">
        <v>324500</v>
      </c>
      <c r="I113" s="10">
        <f>SUM(C113:H113)</f>
        <v/>
      </c>
    </row>
    <row r="114" ht="13" customHeight="1">
      <c r="A114" s="22" t="inlineStr">
        <is>
          <t>52</t>
        </is>
      </c>
      <c r="B114" s="22" t="inlineStr">
        <is>
          <t xml:space="preserve">  JーProach</t>
        </is>
      </c>
      <c r="C114" s="24" t="n">
        <v>323400</v>
      </c>
      <c r="D114" s="24" t="n">
        <v>323400</v>
      </c>
      <c r="E114" s="24" t="n">
        <v>323400</v>
      </c>
      <c r="F114" s="24" t="n">
        <v>323400</v>
      </c>
      <c r="G114" s="24" t="n">
        <v>323400</v>
      </c>
      <c r="H114" s="24" t="n">
        <v>323400</v>
      </c>
      <c r="I114" s="10">
        <f>SUM(C114:H114)</f>
        <v/>
      </c>
    </row>
    <row r="115" ht="13" customHeight="1">
      <c r="A115" s="22" t="inlineStr">
        <is>
          <t>47</t>
        </is>
      </c>
      <c r="B115" s="22" t="inlineStr">
        <is>
          <t xml:space="preserve">  BLOCK47　2F　（ウェルピア）</t>
        </is>
      </c>
      <c r="C115" s="24" t="n">
        <v>660000</v>
      </c>
      <c r="D115" s="24" t="n">
        <v>660000</v>
      </c>
      <c r="E115" s="24" t="n">
        <v>660000</v>
      </c>
      <c r="F115" s="24" t="n">
        <v>660000</v>
      </c>
      <c r="G115" s="24" t="n">
        <v>660000</v>
      </c>
      <c r="H115" s="24" t="n">
        <v>660000</v>
      </c>
      <c r="I115" s="10">
        <f>SUM(C115:H115)</f>
        <v/>
      </c>
    </row>
    <row r="116" ht="13" customHeight="1">
      <c r="A116" s="22" t="inlineStr">
        <is>
          <t>48</t>
        </is>
      </c>
      <c r="B116" s="22" t="inlineStr">
        <is>
          <t xml:space="preserve">  その他（マルチブル）</t>
        </is>
      </c>
      <c r="C116" s="24" t="n">
        <v>66000</v>
      </c>
      <c r="D116" s="24" t="n">
        <v>66000</v>
      </c>
      <c r="E116" s="24" t="n">
        <v>66000</v>
      </c>
      <c r="F116" s="24" t="n">
        <v>66000</v>
      </c>
      <c r="G116" s="24" t="n">
        <v>66000</v>
      </c>
      <c r="H116" s="24" t="n">
        <v>66000</v>
      </c>
      <c r="I116" s="10">
        <f>SUM(C116:H116)</f>
        <v/>
      </c>
    </row>
    <row r="117" ht="13" customHeight="1">
      <c r="A117" s="22" t="inlineStr">
        <is>
          <t>48</t>
        </is>
      </c>
      <c r="B117" s="22" t="inlineStr">
        <is>
          <t xml:space="preserve">  その他（出光リテール）</t>
        </is>
      </c>
      <c r="C117" s="23" t="n"/>
      <c r="D117" s="23" t="n"/>
      <c r="E117" s="23" t="n"/>
      <c r="F117" s="23" t="n">
        <v>92400</v>
      </c>
      <c r="G117" s="23" t="n">
        <v>46200</v>
      </c>
      <c r="H117" s="23" t="n">
        <v>46200</v>
      </c>
      <c r="I117" s="10">
        <f>SUM(C117:H117)</f>
        <v/>
      </c>
    </row>
    <row r="118" ht="13" customHeight="1">
      <c r="A118" s="22" t="inlineStr">
        <is>
          <t>52</t>
        </is>
      </c>
      <c r="B118" s="22" t="inlineStr">
        <is>
          <t xml:space="preserve">  海帆　　新時代　　BABY　FACE</t>
        </is>
      </c>
      <c r="C118" s="24" t="n">
        <v>1592800</v>
      </c>
      <c r="D118" s="24" t="n"/>
      <c r="E118" s="24" t="n">
        <v>1592800</v>
      </c>
      <c r="F118" s="24" t="n">
        <v>1592800</v>
      </c>
      <c r="G118" s="24" t="n">
        <v>1592800</v>
      </c>
      <c r="H118" s="24" t="n">
        <v>1592800</v>
      </c>
      <c r="I118" s="10">
        <f>SUM(C118:H118)</f>
        <v/>
      </c>
    </row>
    <row r="119" ht="13" customHeight="1">
      <c r="A119" s="22" t="inlineStr">
        <is>
          <t>52</t>
        </is>
      </c>
      <c r="B119" s="22" t="inlineStr">
        <is>
          <t xml:space="preserve">  サワフジケンジ</t>
        </is>
      </c>
      <c r="C119" s="24" t="n">
        <v>292600</v>
      </c>
      <c r="D119" s="24" t="n">
        <v>292600</v>
      </c>
      <c r="E119" s="24" t="n">
        <v>292600</v>
      </c>
      <c r="F119" s="24" t="n">
        <v>292600</v>
      </c>
      <c r="G119" s="24" t="n"/>
      <c r="H119" s="24" t="n">
        <v>292600</v>
      </c>
      <c r="I119" s="10">
        <f>SUM(C119:H119)</f>
        <v/>
      </c>
    </row>
    <row r="120" ht="13" customHeight="1">
      <c r="A120" s="22" t="inlineStr">
        <is>
          <t>52</t>
        </is>
      </c>
      <c r="B120" s="22" t="inlineStr">
        <is>
          <t xml:space="preserve">  ツダ　マコト　チーザー</t>
        </is>
      </c>
      <c r="C120" s="24" t="n">
        <v>292600</v>
      </c>
      <c r="D120" s="24" t="n"/>
      <c r="E120" s="24" t="n"/>
      <c r="F120" s="24" t="n"/>
      <c r="G120" s="24" t="n">
        <v>292600</v>
      </c>
      <c r="H120" s="24" t="n">
        <v>292600</v>
      </c>
      <c r="I120" s="10">
        <f>SUM(C120:H120)</f>
        <v/>
      </c>
    </row>
    <row r="121" ht="13" customHeight="1">
      <c r="A121" s="22" t="inlineStr">
        <is>
          <t>52</t>
        </is>
      </c>
      <c r="B121" s="22" t="inlineStr">
        <is>
          <t xml:space="preserve">  海帆/新時代/BABY　FACE　46,200</t>
        </is>
      </c>
      <c r="C121" s="23" t="n"/>
      <c r="D121" s="23" t="n">
        <v>1592800</v>
      </c>
      <c r="E121" s="23" t="n"/>
      <c r="F121" s="23" t="n"/>
      <c r="G121" s="23" t="n"/>
      <c r="H121" s="23" t="n"/>
      <c r="I121" s="10">
        <f>SUM(C121:H121)</f>
        <v/>
      </c>
    </row>
    <row r="122" ht="12" customHeight="1">
      <c r="A122" s="25" t="n"/>
      <c r="B122" s="25" t="n"/>
      <c r="C122" s="26" t="n"/>
      <c r="D122" s="26" t="n"/>
      <c r="E122" s="26" t="n"/>
      <c r="F122" s="26" t="n"/>
      <c r="G122" s="26" t="n"/>
      <c r="H122" s="26" t="n"/>
      <c r="I122" s="13" t="n"/>
    </row>
    <row r="123" ht="14" customHeight="1">
      <c r="A123" s="19" t="n"/>
      <c r="B123" s="20" t="inlineStr">
        <is>
          <t>▶ その他収入</t>
        </is>
      </c>
      <c r="C123" s="21">
        <f>SUM(C124:C130)</f>
        <v/>
      </c>
      <c r="D123" s="21">
        <f>SUM(D124:D130)</f>
        <v/>
      </c>
      <c r="E123" s="21">
        <f>SUM(E124:E130)</f>
        <v/>
      </c>
      <c r="F123" s="21">
        <f>SUM(F124:F130)</f>
        <v/>
      </c>
      <c r="G123" s="21">
        <f>SUM(G124:G130)</f>
        <v/>
      </c>
      <c r="H123" s="21">
        <f>SUM(H124:H130)</f>
        <v/>
      </c>
      <c r="I123" s="7">
        <f>SUM(I124:I130)</f>
        <v/>
      </c>
    </row>
    <row r="124" ht="13" customHeight="1">
      <c r="A124" s="22" t="inlineStr"/>
      <c r="B124" s="22" t="inlineStr">
        <is>
          <t xml:space="preserve">  桑名セブンイレブン家賃収入</t>
        </is>
      </c>
      <c r="C124" s="24" t="n">
        <v>313550</v>
      </c>
      <c r="D124" s="24" t="n">
        <v>313550</v>
      </c>
      <c r="E124" s="24" t="n">
        <v>313550</v>
      </c>
      <c r="F124" s="24" t="n">
        <v>313550</v>
      </c>
      <c r="G124" s="24" t="n">
        <v>313550</v>
      </c>
      <c r="H124" s="24" t="n">
        <v>313550</v>
      </c>
      <c r="I124" s="10">
        <f>SUM(C124:H124)</f>
        <v/>
      </c>
    </row>
    <row r="125" ht="13" customHeight="1">
      <c r="A125" s="22" t="inlineStr"/>
      <c r="B125" s="22" t="inlineStr">
        <is>
          <t xml:space="preserve">  ライフ&amp;サポート　撤退後補填金R8.5迄</t>
        </is>
      </c>
      <c r="C125" s="24" t="n">
        <v>75330</v>
      </c>
      <c r="D125" s="24" t="n">
        <v>75330</v>
      </c>
      <c r="E125" s="24" t="n">
        <v>75330</v>
      </c>
      <c r="F125" s="24" t="n">
        <v>75330</v>
      </c>
      <c r="G125" s="24" t="n">
        <v>75330</v>
      </c>
      <c r="H125" s="24" t="n">
        <v>75330</v>
      </c>
      <c r="I125" s="10">
        <f>SUM(C125:H125)</f>
        <v/>
      </c>
    </row>
    <row r="126" ht="13" customHeight="1">
      <c r="A126" s="22" t="inlineStr"/>
      <c r="B126" s="22" t="inlineStr">
        <is>
          <t xml:space="preserve">  その他（ヒトイキ）</t>
        </is>
      </c>
      <c r="C126" s="23" t="n"/>
      <c r="D126" s="23" t="n"/>
      <c r="E126" s="23" t="n">
        <v>56000</v>
      </c>
      <c r="F126" s="23" t="n"/>
      <c r="G126" s="23" t="n"/>
      <c r="H126" s="23" t="n"/>
      <c r="I126" s="10">
        <f>SUM(C126:H126)</f>
        <v/>
      </c>
    </row>
    <row r="127" ht="13" customHeight="1">
      <c r="A127" s="22" t="inlineStr"/>
      <c r="B127" s="22" t="inlineStr">
        <is>
          <t xml:space="preserve">  その他（飯田勝美さん）</t>
        </is>
      </c>
      <c r="C127" s="23" t="n"/>
      <c r="D127" s="23" t="n"/>
      <c r="E127" s="23" t="n"/>
      <c r="F127" s="23" t="n"/>
      <c r="G127" s="23" t="n"/>
      <c r="H127" s="23" t="n">
        <v>84040</v>
      </c>
      <c r="I127" s="10">
        <f>SUM(C127:H127)</f>
        <v/>
      </c>
    </row>
    <row r="128" ht="13" customHeight="1">
      <c r="A128" s="22" t="inlineStr"/>
      <c r="B128" s="22" t="inlineStr">
        <is>
          <t xml:space="preserve">  その他（寺島組）</t>
        </is>
      </c>
      <c r="C128" s="23" t="n"/>
      <c r="D128" s="23" t="n"/>
      <c r="E128" s="23" t="n"/>
      <c r="F128" s="23" t="n"/>
      <c r="G128" s="23" t="n"/>
      <c r="H128" s="23" t="n">
        <v>84040</v>
      </c>
      <c r="I128" s="10">
        <f>SUM(C128:H128)</f>
        <v/>
      </c>
    </row>
    <row r="129" ht="13" customHeight="1">
      <c r="A129" s="22" t="inlineStr"/>
      <c r="B129" s="22" t="inlineStr">
        <is>
          <t xml:space="preserve">  その他（麻辣湯　保証金）</t>
        </is>
      </c>
      <c r="C129" s="23" t="n"/>
      <c r="D129" s="23" t="n"/>
      <c r="E129" s="23" t="n"/>
      <c r="F129" s="23" t="n"/>
      <c r="G129" s="23" t="n"/>
      <c r="H129" s="23" t="n">
        <v>2231532</v>
      </c>
      <c r="I129" s="10">
        <f>SUM(C129:H129)</f>
        <v/>
      </c>
    </row>
    <row r="130" ht="12" customHeight="1">
      <c r="A130" s="25" t="n"/>
      <c r="B130" s="25" t="n"/>
      <c r="C130" s="26" t="n"/>
      <c r="D130" s="26" t="n"/>
      <c r="E130" s="26" t="n"/>
      <c r="F130" s="26" t="n"/>
      <c r="G130" s="26" t="n"/>
      <c r="H130" s="26" t="n"/>
      <c r="I130" s="13" t="n"/>
    </row>
    <row r="131" ht="15" customHeight="1">
      <c r="A131" s="27" t="n"/>
      <c r="B131" s="28" t="inlineStr">
        <is>
          <t>② 収入合計</t>
        </is>
      </c>
      <c r="C131" s="29">
        <f>C101+C123</f>
        <v/>
      </c>
      <c r="D131" s="29">
        <f>D101+D123</f>
        <v/>
      </c>
      <c r="E131" s="29">
        <f>E101+E123</f>
        <v/>
      </c>
      <c r="F131" s="29">
        <f>F101+F123</f>
        <v/>
      </c>
      <c r="G131" s="29">
        <f>G101+G123</f>
        <v/>
      </c>
      <c r="H131" s="29">
        <f>H101+H123</f>
        <v/>
      </c>
      <c r="I131" s="7">
        <f>I101+I123</f>
        <v/>
      </c>
    </row>
    <row r="133" ht="22" customHeight="1">
      <c r="A133" s="30" t="n"/>
      <c r="B133" s="31" t="inlineStr">
        <is>
          <t>① 経　費</t>
        </is>
      </c>
      <c r="C133" s="32">
        <f>C98</f>
        <v/>
      </c>
      <c r="D133" s="32">
        <f>D98</f>
        <v/>
      </c>
      <c r="E133" s="32">
        <f>E98</f>
        <v/>
      </c>
      <c r="F133" s="32">
        <f>F98</f>
        <v/>
      </c>
      <c r="G133" s="32">
        <f>G98</f>
        <v/>
      </c>
      <c r="H133" s="32">
        <f>H98</f>
        <v/>
      </c>
      <c r="I133" s="32">
        <f>I98</f>
        <v/>
      </c>
    </row>
    <row r="134" ht="22" customHeight="1">
      <c r="A134" s="33" t="n"/>
      <c r="B134" s="34" t="inlineStr">
        <is>
          <t>② 収　入</t>
        </is>
      </c>
      <c r="C134" s="35">
        <f>C131</f>
        <v/>
      </c>
      <c r="D134" s="35">
        <f>D131</f>
        <v/>
      </c>
      <c r="E134" s="35">
        <f>E131</f>
        <v/>
      </c>
      <c r="F134" s="35">
        <f>F131</f>
        <v/>
      </c>
      <c r="G134" s="35">
        <f>G131</f>
        <v/>
      </c>
      <c r="H134" s="35">
        <f>H131</f>
        <v/>
      </c>
      <c r="I134" s="35">
        <f>I131</f>
        <v/>
      </c>
    </row>
    <row r="135" ht="22" customHeight="1">
      <c r="A135" s="36" t="n"/>
      <c r="B135" s="37" t="inlineStr">
        <is>
          <t>③ 収　支  ②－①</t>
        </is>
      </c>
      <c r="C135" s="38">
        <f>C131-C98</f>
        <v/>
      </c>
      <c r="D135" s="38">
        <f>D131-D98</f>
        <v/>
      </c>
      <c r="E135" s="38">
        <f>E131-E98</f>
        <v/>
      </c>
      <c r="F135" s="38">
        <f>F131-F98</f>
        <v/>
      </c>
      <c r="G135" s="38">
        <f>G131-G98</f>
        <v/>
      </c>
      <c r="H135" s="38">
        <f>H131-H98</f>
        <v/>
      </c>
      <c r="I135" s="38">
        <f>I131-I98</f>
        <v/>
      </c>
    </row>
  </sheetData>
  <mergeCells count="3">
    <mergeCell ref="A1:I1"/>
    <mergeCell ref="A100:I100"/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K147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⑤ 大日産業（不動産部門）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R8.6月</t>
        </is>
      </c>
      <c r="I2" s="2" t="inlineStr">
        <is>
          <t>下期累計</t>
        </is>
      </c>
      <c r="J2" s="2" t="inlineStr">
        <is>
          <t>上期累計</t>
        </is>
      </c>
      <c r="K2" s="2" t="inlineStr">
        <is>
          <t>通期合計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不動産岐信（普）で支払い</t>
        </is>
      </c>
      <c r="C4" s="6">
        <f>SUM(C5:C31)</f>
        <v/>
      </c>
      <c r="D4" s="6">
        <f>SUM(D5:D31)</f>
        <v/>
      </c>
      <c r="E4" s="6">
        <f>SUM(E5:E31)</f>
        <v/>
      </c>
      <c r="F4" s="6">
        <f>SUM(F5:F31)</f>
        <v/>
      </c>
      <c r="G4" s="6">
        <f>SUM(G5:G31)</f>
        <v/>
      </c>
      <c r="H4" s="6">
        <f>SUM(H5:H31)</f>
        <v/>
      </c>
      <c r="I4" s="7">
        <f>SUM(I5:I31)</f>
        <v/>
      </c>
      <c r="J4" s="39">
        <f>SUM(J5:J31)</f>
        <v/>
      </c>
      <c r="K4" s="40">
        <f>SUM(K5:K31)</f>
        <v/>
      </c>
    </row>
    <row r="5" ht="13" customHeight="1">
      <c r="A5" s="8" t="inlineStr">
        <is>
          <t>20</t>
        </is>
      </c>
      <c r="B5" s="8" t="inlineStr">
        <is>
          <t xml:space="preserve">  1億5千万　レジデンス（102回〜105回）</t>
        </is>
      </c>
      <c r="C5" s="9" t="n">
        <v>771403</v>
      </c>
      <c r="D5" s="9" t="n">
        <v>758036</v>
      </c>
      <c r="E5" s="9" t="n">
        <v>783999</v>
      </c>
      <c r="F5" s="9" t="n">
        <v>778239</v>
      </c>
      <c r="G5" s="9" t="n"/>
      <c r="H5" s="9" t="n"/>
      <c r="I5" s="10">
        <f>SUM(C5:H5)</f>
        <v/>
      </c>
      <c r="J5" s="41">
        <f>'大日産業（不動産）_上期_7-12月'!I5</f>
        <v/>
      </c>
      <c r="K5" s="42">
        <f>I5+J5</f>
        <v/>
      </c>
    </row>
    <row r="6" ht="13" customHeight="1">
      <c r="A6" s="8" t="inlineStr">
        <is>
          <t>25</t>
        </is>
      </c>
      <c r="B6" s="8" t="inlineStr">
        <is>
          <t xml:space="preserve">  1750万円　安田（59回〜62回）</t>
        </is>
      </c>
      <c r="C6" s="9" t="n">
        <v>116954</v>
      </c>
      <c r="D6" s="9" t="n">
        <v>114875</v>
      </c>
      <c r="E6" s="9" t="n">
        <v>119085</v>
      </c>
      <c r="F6" s="9" t="n">
        <v>118194</v>
      </c>
      <c r="G6" s="9" t="n"/>
      <c r="H6" s="9" t="n"/>
      <c r="I6" s="10">
        <f>SUM(C6:H6)</f>
        <v/>
      </c>
      <c r="J6" s="41">
        <f>'大日産業（不動産）_上期_7-12月'!I6</f>
        <v/>
      </c>
      <c r="K6" s="42">
        <f>I6+J6</f>
        <v/>
      </c>
    </row>
    <row r="7" ht="13" customHeight="1">
      <c r="A7" s="8" t="inlineStr"/>
      <c r="B7" s="8" t="inlineStr">
        <is>
          <t xml:space="preserve">  1500万円　南谷（54回〜57回）</t>
        </is>
      </c>
      <c r="C7" s="9" t="n">
        <v>100821</v>
      </c>
      <c r="D7" s="9" t="n">
        <v>98969</v>
      </c>
      <c r="E7" s="9" t="n">
        <v>102738</v>
      </c>
      <c r="F7" s="9" t="n">
        <v>101948</v>
      </c>
      <c r="G7" s="9" t="n"/>
      <c r="H7" s="9" t="n"/>
      <c r="I7" s="10">
        <f>SUM(C7:H7)</f>
        <v/>
      </c>
      <c r="J7" s="41">
        <f>'大日産業（不動産）_上期_7-12月'!I7</f>
        <v/>
      </c>
      <c r="K7" s="42">
        <f>I7+J7</f>
        <v/>
      </c>
    </row>
    <row r="8" ht="13" customHeight="1">
      <c r="A8" s="8" t="inlineStr">
        <is>
          <t>末</t>
        </is>
      </c>
      <c r="B8" s="8" t="inlineStr">
        <is>
          <t xml:space="preserve">  9800万円　51.52街区（107回〜110回）</t>
        </is>
      </c>
      <c r="C8" s="9" t="n">
        <v>495545</v>
      </c>
      <c r="D8" s="9" t="n">
        <v>504198</v>
      </c>
      <c r="E8" s="9" t="n">
        <v>511389</v>
      </c>
      <c r="F8" s="9" t="n">
        <v>514021</v>
      </c>
      <c r="G8" s="9" t="n"/>
      <c r="H8" s="9" t="n"/>
      <c r="I8" s="10">
        <f>SUM(C8:H8)</f>
        <v/>
      </c>
      <c r="J8" s="41">
        <f>'大日産業（不動産）_上期_7-12月'!I8</f>
        <v/>
      </c>
      <c r="K8" s="42">
        <f>I8+J8</f>
        <v/>
      </c>
    </row>
    <row r="9" ht="13" customHeight="1">
      <c r="A9" s="8" t="inlineStr"/>
      <c r="B9" s="8" t="inlineStr">
        <is>
          <t xml:space="preserve">  6000万円　BLOCK４７（38回〜41回）</t>
        </is>
      </c>
      <c r="C9" s="9" t="n">
        <v>330217</v>
      </c>
      <c r="D9" s="9" t="n">
        <v>337647</v>
      </c>
      <c r="E9" s="9" t="n">
        <v>344861</v>
      </c>
      <c r="F9" s="9" t="n">
        <v>347320</v>
      </c>
      <c r="G9" s="9" t="n"/>
      <c r="H9" s="9" t="n"/>
      <c r="I9" s="10">
        <f>SUM(C9:H9)</f>
        <v/>
      </c>
      <c r="J9" s="41">
        <f>'大日産業（不動産）_上期_7-12月'!I9</f>
        <v/>
      </c>
      <c r="K9" s="42">
        <f>I9+J9</f>
        <v/>
      </c>
    </row>
    <row r="10" ht="13" customHeight="1">
      <c r="A10" s="8" t="inlineStr"/>
      <c r="B10" s="8" t="inlineStr">
        <is>
          <t xml:space="preserve">  岐信　積金分（テナント保証金）</t>
        </is>
      </c>
      <c r="C10" s="14" t="n">
        <v>100000</v>
      </c>
      <c r="D10" s="14" t="n">
        <v>100000</v>
      </c>
      <c r="E10" s="14" t="n">
        <v>100000</v>
      </c>
      <c r="F10" s="14" t="n">
        <v>100000</v>
      </c>
      <c r="G10" s="14" t="n"/>
      <c r="H10" s="14" t="n"/>
      <c r="I10" s="10">
        <f>SUM(C10:H10)</f>
        <v/>
      </c>
      <c r="J10" s="41">
        <f>'大日産業（不動産）_上期_7-12月'!I10</f>
        <v/>
      </c>
      <c r="K10" s="42">
        <f>I10+J10</f>
        <v/>
      </c>
    </row>
    <row r="11" ht="13" customHeight="1">
      <c r="A11" s="8" t="inlineStr">
        <is>
          <t>28</t>
        </is>
      </c>
      <c r="B11" s="8" t="inlineStr">
        <is>
          <t xml:space="preserve">  電気料　不動産共用部　など</t>
        </is>
      </c>
      <c r="C11" s="9" t="n">
        <v>58212</v>
      </c>
      <c r="D11" s="9" t="n">
        <v>42688</v>
      </c>
      <c r="E11" s="9" t="n">
        <v>37791</v>
      </c>
      <c r="F11" s="9" t="n"/>
      <c r="G11" s="9" t="n"/>
      <c r="H11" s="9" t="n"/>
      <c r="I11" s="10">
        <f>SUM(C11:H11)</f>
        <v/>
      </c>
      <c r="J11" s="41">
        <f>'大日産業（不動産）_上期_7-12月'!I22</f>
        <v/>
      </c>
      <c r="K11" s="42">
        <f>I11+J11</f>
        <v/>
      </c>
    </row>
    <row r="12" ht="13" customHeight="1">
      <c r="A12" s="8" t="inlineStr"/>
      <c r="B12" s="8" t="inlineStr">
        <is>
          <t xml:space="preserve">  BLOCK47　電気料金</t>
        </is>
      </c>
      <c r="C12" s="9" t="n">
        <v>39207</v>
      </c>
      <c r="D12" s="9" t="n">
        <v>37001</v>
      </c>
      <c r="E12" s="9" t="n">
        <v>34123</v>
      </c>
      <c r="F12" s="9" t="n"/>
      <c r="G12" s="9" t="n"/>
      <c r="H12" s="9" t="n"/>
      <c r="I12" s="10">
        <f>SUM(C12:H12)</f>
        <v/>
      </c>
      <c r="J12" s="41">
        <f>'大日産業（不動産）_上期_7-12月'!I11</f>
        <v/>
      </c>
      <c r="K12" s="42">
        <f>I12+J12</f>
        <v/>
      </c>
    </row>
    <row r="13" ht="13" customHeight="1">
      <c r="A13" s="8" t="inlineStr"/>
      <c r="B13" s="8" t="inlineStr">
        <is>
          <t xml:space="preserve">  BLOCK47　ガス料金（空調）</t>
        </is>
      </c>
      <c r="C13" s="9" t="n">
        <v>9623</v>
      </c>
      <c r="D13" s="9" t="n">
        <v>20351</v>
      </c>
      <c r="E13" s="9" t="n">
        <v>44623</v>
      </c>
      <c r="F13" s="9" t="n"/>
      <c r="G13" s="9" t="n"/>
      <c r="H13" s="9" t="n"/>
      <c r="I13" s="10">
        <f>SUM(C13:H13)</f>
        <v/>
      </c>
      <c r="J13" s="41">
        <f>'大日産業（不動産）_上期_7-12月'!I12</f>
        <v/>
      </c>
      <c r="K13" s="42">
        <f>I13+J13</f>
        <v/>
      </c>
    </row>
    <row r="14" ht="13" customHeight="1">
      <c r="A14" s="8" t="inlineStr"/>
      <c r="B14" s="8" t="inlineStr">
        <is>
          <t xml:space="preserve">  BLOCK47　通信　テレマーカー</t>
        </is>
      </c>
      <c r="C14" s="9" t="n">
        <v>24696</v>
      </c>
      <c r="D14" s="9" t="n">
        <v>24659</v>
      </c>
      <c r="E14" s="9" t="n">
        <v>251289</v>
      </c>
      <c r="F14" s="9" t="n"/>
      <c r="G14" s="9" t="n"/>
      <c r="H14" s="9" t="n"/>
      <c r="I14" s="10">
        <f>SUM(C14:H14)</f>
        <v/>
      </c>
      <c r="J14" s="41">
        <f>'大日産業（不動産）_上期_7-12月'!I13</f>
        <v/>
      </c>
      <c r="K14" s="42">
        <f>I14+J14</f>
        <v/>
      </c>
    </row>
    <row r="15" ht="13" customHeight="1">
      <c r="A15" s="8" t="inlineStr"/>
      <c r="B15" s="8" t="inlineStr">
        <is>
          <t xml:space="preserve">  BLOCK47　Wi-Fi　NTT（テレマーカー）</t>
        </is>
      </c>
      <c r="C15" s="14" t="n">
        <v>15950</v>
      </c>
      <c r="D15" s="14" t="n">
        <v>15950</v>
      </c>
      <c r="E15" s="14" t="n">
        <v>15950</v>
      </c>
      <c r="F15" s="14" t="n"/>
      <c r="G15" s="14" t="n"/>
      <c r="H15" s="14" t="n"/>
      <c r="I15" s="10">
        <f>SUM(C15:H15)</f>
        <v/>
      </c>
      <c r="J15" s="41">
        <f>'大日産業（不動産）_上期_7-12月'!I14</f>
        <v/>
      </c>
      <c r="K15" s="42">
        <f>I15+J15</f>
        <v/>
      </c>
    </row>
    <row r="16" ht="13" customHeight="1">
      <c r="A16" s="8" t="inlineStr">
        <is>
          <t>26</t>
        </is>
      </c>
      <c r="B16" s="8" t="inlineStr">
        <is>
          <t xml:space="preserve">  BLOCK　ALSOK　入金機</t>
        </is>
      </c>
      <c r="C16" s="14" t="n">
        <v>62150</v>
      </c>
      <c r="D16" s="14" t="n">
        <v>62150</v>
      </c>
      <c r="E16" s="14" t="n">
        <v>62150</v>
      </c>
      <c r="F16" s="14" t="n"/>
      <c r="G16" s="14" t="n"/>
      <c r="H16" s="14" t="n"/>
      <c r="I16" s="10">
        <f>SUM(C16:H16)</f>
        <v/>
      </c>
      <c r="J16" s="41">
        <f>'大日産業（不動産）_上期_7-12月'!I15</f>
        <v/>
      </c>
      <c r="K16" s="42">
        <f>I16+J16</f>
        <v/>
      </c>
    </row>
    <row r="17" ht="13" customHeight="1">
      <c r="A17" s="8" t="inlineStr"/>
      <c r="B17" s="8" t="inlineStr">
        <is>
          <t xml:space="preserve">  BLOCK　ALSOK　施設警備</t>
        </is>
      </c>
      <c r="C17" s="14" t="n">
        <v>21450</v>
      </c>
      <c r="D17" s="14" t="n">
        <v>21450</v>
      </c>
      <c r="E17" s="14" t="n">
        <v>21450</v>
      </c>
      <c r="F17" s="14" t="n"/>
      <c r="G17" s="14" t="n"/>
      <c r="H17" s="14" t="n"/>
      <c r="I17" s="10">
        <f>SUM(C17:H17)</f>
        <v/>
      </c>
      <c r="J17" s="41">
        <f>'大日産業（不動産）_上期_7-12月'!I16</f>
        <v/>
      </c>
      <c r="K17" s="42">
        <f>I17+J17</f>
        <v/>
      </c>
    </row>
    <row r="18" ht="13" customHeight="1">
      <c r="A18" s="8" t="inlineStr"/>
      <c r="B18" s="8" t="inlineStr">
        <is>
          <t xml:space="preserve">  BLOCK47　ガス料金（給湯）</t>
        </is>
      </c>
      <c r="C18" s="9" t="n">
        <v>20351</v>
      </c>
      <c r="D18" s="9" t="n"/>
      <c r="E18" s="9" t="n"/>
      <c r="F18" s="9" t="n"/>
      <c r="G18" s="9" t="n"/>
      <c r="H18" s="9" t="n"/>
      <c r="I18" s="10">
        <f>SUM(C18:H18)</f>
        <v/>
      </c>
      <c r="J18" s="41">
        <f>'大日産業（不動産）_上期_7-12月'!I18</f>
        <v/>
      </c>
      <c r="K18" s="42">
        <f>I18+J18</f>
        <v/>
      </c>
    </row>
    <row r="19" ht="13" customHeight="1">
      <c r="A19" s="8" t="inlineStr"/>
      <c r="B19" s="8" t="inlineStr">
        <is>
          <t xml:space="preserve">  BLOCK47　水道料金(オフィス）</t>
        </is>
      </c>
      <c r="C19" s="9" t="n">
        <v>5258</v>
      </c>
      <c r="D19" s="9" t="n"/>
      <c r="E19" s="9" t="n"/>
      <c r="F19" s="9" t="n"/>
      <c r="G19" s="9" t="n"/>
      <c r="H19" s="9" t="n"/>
      <c r="I19" s="10">
        <f>SUM(C19:H19)</f>
        <v/>
      </c>
      <c r="J19" s="41">
        <f>'大日産業（不動産）_上期_7-12月'!I17</f>
        <v/>
      </c>
      <c r="K19" s="42">
        <f>I19+J19</f>
        <v/>
      </c>
    </row>
    <row r="20" ht="13" customHeight="1">
      <c r="A20" s="8" t="inlineStr"/>
      <c r="B20" s="8" t="inlineStr">
        <is>
          <t xml:space="preserve">  BLOCK47　水道料金(共用部）</t>
        </is>
      </c>
      <c r="C20" s="9" t="n">
        <v>13776</v>
      </c>
      <c r="D20" s="9" t="n"/>
      <c r="E20" s="9" t="n"/>
      <c r="F20" s="9" t="n"/>
      <c r="G20" s="9" t="n"/>
      <c r="H20" s="9" t="n"/>
      <c r="I20" s="10">
        <f>SUM(C20:H20)</f>
        <v/>
      </c>
      <c r="J20" s="41">
        <f>'大日産業（不動産）_上期_7-12月'!I19</f>
        <v/>
      </c>
      <c r="K20" s="42">
        <f>I20+J20</f>
        <v/>
      </c>
    </row>
    <row r="21" ht="13" customHeight="1">
      <c r="A21" s="8" t="inlineStr">
        <is>
          <t>6</t>
        </is>
      </c>
      <c r="B21" s="8" t="inlineStr">
        <is>
          <t xml:space="preserve">  東芝エレベーター（保守）</t>
        </is>
      </c>
      <c r="C21" s="14" t="n">
        <v>14300</v>
      </c>
      <c r="D21" s="14" t="n">
        <v>14300</v>
      </c>
      <c r="E21" s="14" t="n">
        <v>14300</v>
      </c>
      <c r="F21" s="14" t="n"/>
      <c r="G21" s="14" t="n"/>
      <c r="H21" s="14" t="n"/>
      <c r="I21" s="10">
        <f>SUM(C21:H21)</f>
        <v/>
      </c>
      <c r="J21" s="41">
        <f>'大日産業（不動産）_上期_7-12月'!I20</f>
        <v/>
      </c>
      <c r="K21" s="42">
        <f>I21+J21</f>
        <v/>
      </c>
    </row>
    <row r="22" ht="13" customHeight="1">
      <c r="A22" s="8" t="inlineStr">
        <is>
          <t>27</t>
        </is>
      </c>
      <c r="B22" s="8" t="inlineStr">
        <is>
          <t xml:space="preserve">  オリエント　O2　71回払い</t>
        </is>
      </c>
      <c r="C22" s="14" t="n">
        <v>60500</v>
      </c>
      <c r="D22" s="14" t="n">
        <v>60500</v>
      </c>
      <c r="E22" s="14" t="n">
        <v>60500</v>
      </c>
      <c r="F22" s="14" t="n"/>
      <c r="G22" s="14" t="n"/>
      <c r="H22" s="14" t="n"/>
      <c r="I22" s="10">
        <f>SUM(C22:H22)</f>
        <v/>
      </c>
      <c r="J22" s="41">
        <f>'大日産業（不動産）_上期_7-12月'!I21</f>
        <v/>
      </c>
      <c r="K22" s="42">
        <f>I22+J22</f>
        <v/>
      </c>
    </row>
    <row r="23" ht="13" customHeight="1">
      <c r="A23" s="8" t="inlineStr"/>
      <c r="B23" s="8" t="inlineStr">
        <is>
          <t xml:space="preserve">  加藤造園</t>
        </is>
      </c>
      <c r="C23" s="9" t="n">
        <v>85580</v>
      </c>
      <c r="D23" s="9" t="n"/>
      <c r="E23" s="9" t="n"/>
      <c r="F23" s="9" t="n"/>
      <c r="G23" s="9" t="n"/>
      <c r="H23" s="9" t="n"/>
      <c r="I23" s="10">
        <f>SUM(C23:H23)</f>
        <v/>
      </c>
      <c r="J23" s="41">
        <f>'大日産業（不動産）_上期_7-12月'!I26</f>
        <v/>
      </c>
      <c r="K23" s="42">
        <f>I23+J23</f>
        <v/>
      </c>
    </row>
    <row r="24" ht="13" customHeight="1">
      <c r="A24" s="8" t="inlineStr">
        <is>
          <t>10</t>
        </is>
      </c>
      <c r="B24" s="8" t="inlineStr">
        <is>
          <t xml:space="preserve">  はしまなごみスポーツ協賛</t>
        </is>
      </c>
      <c r="C24" s="9" t="n"/>
      <c r="D24" s="9" t="n">
        <v>5000</v>
      </c>
      <c r="E24" s="9" t="n"/>
      <c r="F24" s="9" t="n"/>
      <c r="G24" s="9" t="n"/>
      <c r="H24" s="9" t="n"/>
      <c r="I24" s="10">
        <f>SUM(C24:H24)</f>
        <v/>
      </c>
      <c r="J24" s="41" t="n"/>
      <c r="K24" s="42">
        <f>I24+J24</f>
        <v/>
      </c>
    </row>
    <row r="25" ht="13" customHeight="1">
      <c r="A25" s="8" t="inlineStr">
        <is>
          <t>20</t>
        </is>
      </c>
      <c r="B25" s="8" t="inlineStr">
        <is>
          <t xml:space="preserve">  ネットプロテクション</t>
        </is>
      </c>
      <c r="C25" s="9" t="n"/>
      <c r="D25" s="9" t="n">
        <v>3205</v>
      </c>
      <c r="E25" s="9" t="n"/>
      <c r="F25" s="9" t="n"/>
      <c r="G25" s="9" t="n"/>
      <c r="H25" s="9" t="n"/>
      <c r="I25" s="10">
        <f>SUM(C25:H25)</f>
        <v/>
      </c>
      <c r="J25" s="41">
        <f>'大日産業（不動産）_上期_7-12月'!I29</f>
        <v/>
      </c>
      <c r="K25" s="42">
        <f>I25+J25</f>
        <v/>
      </c>
    </row>
    <row r="26" ht="13" customHeight="1">
      <c r="A26" s="8" t="inlineStr">
        <is>
          <t>30</t>
        </is>
      </c>
      <c r="B26" s="8" t="inlineStr">
        <is>
          <t xml:space="preserve">  オノデン</t>
        </is>
      </c>
      <c r="C26" s="9" t="n"/>
      <c r="D26" s="9" t="n">
        <v>55000</v>
      </c>
      <c r="E26" s="9" t="n"/>
      <c r="F26" s="9" t="n"/>
      <c r="G26" s="9" t="n"/>
      <c r="H26" s="9" t="n"/>
      <c r="I26" s="10">
        <f>SUM(C26:H26)</f>
        <v/>
      </c>
      <c r="J26" s="41" t="n"/>
      <c r="K26" s="42">
        <f>I26+J26</f>
        <v/>
      </c>
    </row>
    <row r="27" ht="13" customHeight="1">
      <c r="A27" s="8" t="inlineStr"/>
      <c r="B27" s="8" t="inlineStr">
        <is>
          <t xml:space="preserve">  アクシス　フェンス</t>
        </is>
      </c>
      <c r="C27" s="9" t="n"/>
      <c r="D27" s="9" t="n"/>
      <c r="E27" s="9" t="n">
        <v>44000</v>
      </c>
      <c r="F27" s="9" t="n"/>
      <c r="G27" s="9" t="n"/>
      <c r="H27" s="9" t="n"/>
      <c r="I27" s="10">
        <f>SUM(C27:H27)</f>
        <v/>
      </c>
      <c r="J27" s="41" t="n"/>
      <c r="K27" s="42">
        <f>I27+J27</f>
        <v/>
      </c>
    </row>
    <row r="28" ht="13" customHeight="1">
      <c r="A28" s="8" t="inlineStr"/>
      <c r="B28" s="8" t="inlineStr">
        <is>
          <t xml:space="preserve">  アクシス　くろぎ　とんこつ　ドア</t>
        </is>
      </c>
      <c r="C28" s="9" t="n"/>
      <c r="D28" s="9" t="n"/>
      <c r="E28" s="9" t="n">
        <v>990000</v>
      </c>
      <c r="F28" s="9" t="n"/>
      <c r="G28" s="9" t="n"/>
      <c r="H28" s="9" t="n"/>
      <c r="I28" s="10">
        <f>SUM(C28:H28)</f>
        <v/>
      </c>
      <c r="J28" s="41" t="n"/>
      <c r="K28" s="42">
        <f>I28+J28</f>
        <v/>
      </c>
    </row>
    <row r="29" ht="13" customHeight="1">
      <c r="A29" s="8" t="inlineStr"/>
      <c r="B29" s="8" t="inlineStr">
        <is>
          <t xml:space="preserve">  アドアップ　看板　麻辣湯</t>
        </is>
      </c>
      <c r="C29" s="9" t="n"/>
      <c r="D29" s="9" t="n"/>
      <c r="E29" s="9" t="n">
        <v>71500</v>
      </c>
      <c r="F29" s="9" t="n"/>
      <c r="G29" s="9" t="n"/>
      <c r="H29" s="9" t="n"/>
      <c r="I29" s="10">
        <f>SUM(C29:H29)</f>
        <v/>
      </c>
      <c r="J29" s="41" t="n"/>
      <c r="K29" s="42">
        <f>I29+J29</f>
        <v/>
      </c>
    </row>
    <row r="30" ht="13" customHeight="1">
      <c r="A30" s="8" t="inlineStr"/>
      <c r="B30" s="8" t="inlineStr">
        <is>
          <t xml:space="preserve">  覚建築　アサイ</t>
        </is>
      </c>
      <c r="C30" s="9" t="n"/>
      <c r="D30" s="9" t="n"/>
      <c r="E30" s="9" t="n">
        <v>73700</v>
      </c>
      <c r="F30" s="9" t="n"/>
      <c r="G30" s="9" t="n"/>
      <c r="H30" s="9" t="n"/>
      <c r="I30" s="10">
        <f>SUM(C30:H30)</f>
        <v/>
      </c>
      <c r="J30" s="41" t="n"/>
      <c r="K30" s="42">
        <f>I30+J30</f>
        <v/>
      </c>
    </row>
    <row r="31" ht="1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3" t="n"/>
      <c r="J31" s="43" t="n"/>
      <c r="K31" s="44" t="n"/>
    </row>
    <row r="32" ht="14" customHeight="1">
      <c r="A32" s="4" t="n"/>
      <c r="B32" s="5" t="inlineStr">
        <is>
          <t>▶ 商信 自動振替</t>
        </is>
      </c>
      <c r="C32" s="6">
        <f>SUM(C33:C36)</f>
        <v/>
      </c>
      <c r="D32" s="6">
        <f>SUM(D33:D36)</f>
        <v/>
      </c>
      <c r="E32" s="6">
        <f>SUM(E33:E36)</f>
        <v/>
      </c>
      <c r="F32" s="6">
        <f>SUM(F33:F36)</f>
        <v/>
      </c>
      <c r="G32" s="6">
        <f>SUM(G33:G36)</f>
        <v/>
      </c>
      <c r="H32" s="6">
        <f>SUM(H33:H36)</f>
        <v/>
      </c>
      <c r="I32" s="7">
        <f>SUM(I33:I36)</f>
        <v/>
      </c>
      <c r="J32" s="39">
        <f>SUM(J33:J36)</f>
        <v/>
      </c>
      <c r="K32" s="40">
        <f>SUM(K33:K36)</f>
        <v/>
      </c>
    </row>
    <row r="33" ht="13" customHeight="1">
      <c r="A33" s="8" t="inlineStr">
        <is>
          <t>20</t>
        </is>
      </c>
      <c r="B33" s="8" t="inlineStr">
        <is>
          <t xml:space="preserve">  1900万円　46街区　事務所（93回〜96回）</t>
        </is>
      </c>
      <c r="C33" s="9" t="n">
        <v>160039</v>
      </c>
      <c r="D33" s="9" t="n">
        <v>159629</v>
      </c>
      <c r="E33" s="9" t="n">
        <v>159569</v>
      </c>
      <c r="F33" s="9" t="n">
        <v>159291</v>
      </c>
      <c r="G33" s="9" t="n"/>
      <c r="H33" s="9" t="n"/>
      <c r="I33" s="10">
        <f>SUM(C33:H33)</f>
        <v/>
      </c>
      <c r="J33" s="41">
        <f>'大日産業（不動産）_上期_7-12月'!I38</f>
        <v/>
      </c>
      <c r="K33" s="42">
        <f>I33+J33</f>
        <v/>
      </c>
    </row>
    <row r="34" ht="13" customHeight="1">
      <c r="A34" s="8" t="inlineStr">
        <is>
          <t>20</t>
        </is>
      </c>
      <c r="B34" s="8" t="inlineStr">
        <is>
          <t xml:space="preserve">  5800万円　温しゃぶ（79回〜82回）</t>
        </is>
      </c>
      <c r="C34" s="9" t="n">
        <v>299790</v>
      </c>
      <c r="D34" s="9" t="n">
        <v>293872</v>
      </c>
      <c r="E34" s="9" t="n">
        <v>299071</v>
      </c>
      <c r="F34" s="9" t="n">
        <v>296881</v>
      </c>
      <c r="G34" s="9" t="n"/>
      <c r="H34" s="9" t="n"/>
      <c r="I34" s="10">
        <f>SUM(C34:H34)</f>
        <v/>
      </c>
      <c r="J34" s="41">
        <f>'大日産業（不動産）_上期_7-12月'!I39</f>
        <v/>
      </c>
      <c r="K34" s="42">
        <f>I34+J34</f>
        <v/>
      </c>
    </row>
    <row r="35" ht="13" customHeight="1">
      <c r="A35" s="8" t="inlineStr">
        <is>
          <t>末</t>
        </is>
      </c>
      <c r="B35" s="8" t="inlineStr">
        <is>
          <t xml:space="preserve">  6000万円　BLOCK４７（38回〜41回）</t>
        </is>
      </c>
      <c r="C35" s="9" t="n">
        <v>331662</v>
      </c>
      <c r="D35" s="9" t="n">
        <v>324092</v>
      </c>
      <c r="E35" s="9" t="n">
        <v>330898</v>
      </c>
      <c r="F35" s="9" t="n">
        <v>328145</v>
      </c>
      <c r="G35" s="9" t="n"/>
      <c r="H35" s="9" t="n"/>
      <c r="I35" s="10">
        <f>SUM(C35:H35)</f>
        <v/>
      </c>
      <c r="J35" s="41">
        <f>'大日産業（不動産）_上期_7-12月'!I40</f>
        <v/>
      </c>
      <c r="K35" s="42">
        <f>I35+J35</f>
        <v/>
      </c>
    </row>
    <row r="36" ht="12" customHeight="1">
      <c r="A36" s="11" t="n"/>
      <c r="B36" s="11" t="n"/>
      <c r="C36" s="12" t="n"/>
      <c r="D36" s="12" t="n"/>
      <c r="E36" s="12" t="n"/>
      <c r="F36" s="12" t="n"/>
      <c r="G36" s="12" t="n"/>
      <c r="H36" s="12" t="n"/>
      <c r="I36" s="13" t="n"/>
      <c r="J36" s="43" t="n"/>
      <c r="K36" s="44" t="n"/>
    </row>
    <row r="37" ht="14" customHeight="1">
      <c r="A37" s="4" t="n"/>
      <c r="B37" s="5" t="inlineStr">
        <is>
          <t>▶ 当座立替払い</t>
        </is>
      </c>
      <c r="C37" s="6">
        <f>SUM(C38:C60)</f>
        <v/>
      </c>
      <c r="D37" s="6">
        <f>SUM(D38:D60)</f>
        <v/>
      </c>
      <c r="E37" s="6">
        <f>SUM(E38:E60)</f>
        <v/>
      </c>
      <c r="F37" s="6">
        <f>SUM(F38:F60)</f>
        <v/>
      </c>
      <c r="G37" s="6">
        <f>SUM(G38:G60)</f>
        <v/>
      </c>
      <c r="H37" s="6">
        <f>SUM(H38:H60)</f>
        <v/>
      </c>
      <c r="I37" s="7">
        <f>SUM(I38:I60)</f>
        <v/>
      </c>
      <c r="J37" s="39">
        <f>SUM(J38:J60)</f>
        <v/>
      </c>
      <c r="K37" s="40">
        <f>SUM(K38:K60)</f>
        <v/>
      </c>
    </row>
    <row r="38" ht="13" customHeight="1">
      <c r="A38" s="8" t="inlineStr">
        <is>
          <t>20</t>
        </is>
      </c>
      <c r="B38" s="8" t="inlineStr">
        <is>
          <t xml:space="preserve">  BLOCK47　中部電気保安協会</t>
        </is>
      </c>
      <c r="C38" s="14" t="n">
        <v>16511</v>
      </c>
      <c r="D38" s="14" t="n">
        <v>16511</v>
      </c>
      <c r="E38" s="14" t="n">
        <v>16511</v>
      </c>
      <c r="F38" s="14" t="n">
        <v>16511</v>
      </c>
      <c r="G38" s="14" t="n">
        <v>16511</v>
      </c>
      <c r="H38" s="14" t="n"/>
      <c r="I38" s="10">
        <f>SUM(C38:H38)</f>
        <v/>
      </c>
      <c r="J38" s="41">
        <f>'大日産業（不動産）_上期_7-12月'!I44</f>
        <v/>
      </c>
      <c r="K38" s="42">
        <f>I38+J38</f>
        <v/>
      </c>
    </row>
    <row r="39" ht="13" customHeight="1">
      <c r="A39" s="8" t="inlineStr">
        <is>
          <t>末</t>
        </is>
      </c>
      <c r="B39" s="8" t="inlineStr">
        <is>
          <t xml:space="preserve">  BLOCK４７　複合機　ゴラック</t>
        </is>
      </c>
      <c r="C39" s="9" t="n">
        <v>1521</v>
      </c>
      <c r="D39" s="9" t="n">
        <v>912</v>
      </c>
      <c r="E39" s="9" t="n">
        <v>2739</v>
      </c>
      <c r="F39" s="9" t="n">
        <v>8041</v>
      </c>
      <c r="G39" s="9" t="n"/>
      <c r="H39" s="9" t="n"/>
      <c r="I39" s="10">
        <f>SUM(C39:H39)</f>
        <v/>
      </c>
      <c r="J39" s="41">
        <f>'大日産業（不動産）_上期_7-12月'!I45</f>
        <v/>
      </c>
      <c r="K39" s="42">
        <f>I39+J39</f>
        <v/>
      </c>
    </row>
    <row r="40" ht="13" customHeight="1">
      <c r="A40" s="8" t="inlineStr"/>
      <c r="B40" s="8" t="inlineStr">
        <is>
          <t xml:space="preserve">  しんきんBLOCK47２F　複合機60回</t>
        </is>
      </c>
      <c r="C40" s="9" t="n">
        <v>10670</v>
      </c>
      <c r="D40" s="9" t="n"/>
      <c r="E40" s="9" t="n"/>
      <c r="F40" s="9" t="n"/>
      <c r="G40" s="9" t="n"/>
      <c r="H40" s="9" t="n"/>
      <c r="I40" s="10">
        <f>SUM(C40:H40)</f>
        <v/>
      </c>
      <c r="J40" s="41">
        <f>'大日産業（不動産）_上期_7-12月'!I46</f>
        <v/>
      </c>
      <c r="K40" s="42">
        <f>I40+J40</f>
        <v/>
      </c>
    </row>
    <row r="41" ht="13" customHeight="1">
      <c r="A41" s="8" t="inlineStr"/>
      <c r="B41" s="8" t="inlineStr">
        <is>
          <t xml:space="preserve">  BLOCK保険　月払　50380/2600</t>
        </is>
      </c>
      <c r="C41" s="9" t="n">
        <v>50380</v>
      </c>
      <c r="D41" s="9" t="n"/>
      <c r="E41" s="9" t="n"/>
      <c r="F41" s="9" t="n"/>
      <c r="G41" s="9" t="n"/>
      <c r="H41" s="9" t="n"/>
      <c r="I41" s="10">
        <f>SUM(C41:H41)</f>
        <v/>
      </c>
      <c r="J41" s="41" t="n"/>
      <c r="K41" s="42">
        <f>I41+J41</f>
        <v/>
      </c>
    </row>
    <row r="42" ht="13" customHeight="1">
      <c r="A42" s="8" t="inlineStr">
        <is>
          <t>末</t>
        </is>
      </c>
      <c r="B42" s="8" t="inlineStr">
        <is>
          <t xml:space="preserve">  桑名セブンイレブン家賃収入</t>
        </is>
      </c>
      <c r="C42" s="14" t="n">
        <v>313550</v>
      </c>
      <c r="D42" s="14" t="n">
        <v>313550</v>
      </c>
      <c r="E42" s="14" t="n">
        <v>313550</v>
      </c>
      <c r="F42" s="14" t="n">
        <v>313550</v>
      </c>
      <c r="G42" s="14" t="n">
        <v>313550</v>
      </c>
      <c r="H42" s="14" t="n"/>
      <c r="I42" s="10">
        <f>SUM(C42:H42)</f>
        <v/>
      </c>
      <c r="J42" s="41">
        <f>'大日産業（不動産）_上期_7-12月'!I47</f>
        <v/>
      </c>
      <c r="K42" s="42">
        <f>I42+J42</f>
        <v/>
      </c>
    </row>
    <row r="43" ht="13" customHeight="1">
      <c r="A43" s="8" t="inlineStr">
        <is>
          <t>末</t>
        </is>
      </c>
      <c r="B43" s="8" t="inlineStr">
        <is>
          <t xml:space="preserve">  固定資産税（羽島市）</t>
        </is>
      </c>
      <c r="C43" s="14" t="n">
        <v>530000</v>
      </c>
      <c r="D43" s="14" t="n">
        <v>530000</v>
      </c>
      <c r="E43" s="14" t="n">
        <v>530000</v>
      </c>
      <c r="F43" s="14" t="n">
        <v>530000</v>
      </c>
      <c r="G43" s="14" t="n">
        <v>530000</v>
      </c>
      <c r="H43" s="14" t="n"/>
      <c r="I43" s="10">
        <f>SUM(C43:H43)</f>
        <v/>
      </c>
      <c r="J43" s="41">
        <f>'大日産業（不動産）_上期_7-12月'!I48</f>
        <v/>
      </c>
      <c r="K43" s="42">
        <f>I43+J43</f>
        <v/>
      </c>
    </row>
    <row r="44" ht="13" customHeight="1">
      <c r="A44" s="8" t="inlineStr"/>
      <c r="B44" s="8" t="inlineStr">
        <is>
          <t xml:space="preserve">  消費・法人税　初期返済　月次120万</t>
        </is>
      </c>
      <c r="C44" s="14" t="n">
        <v>1200000</v>
      </c>
      <c r="D44" s="14" t="n">
        <v>1200000</v>
      </c>
      <c r="E44" s="14" t="n">
        <v>1200000</v>
      </c>
      <c r="F44" s="14" t="n">
        <v>1200000</v>
      </c>
      <c r="G44" s="14" t="n">
        <v>1200000</v>
      </c>
      <c r="H44" s="14" t="n"/>
      <c r="I44" s="10">
        <f>SUM(C44:H44)</f>
        <v/>
      </c>
      <c r="J44" s="41">
        <f>'大日産業（不動産）_上期_7-12月'!I49</f>
        <v/>
      </c>
      <c r="K44" s="42">
        <f>I44+J44</f>
        <v/>
      </c>
    </row>
    <row r="45" ht="13" customHeight="1">
      <c r="A45" s="8" t="inlineStr"/>
      <c r="B45" s="8" t="inlineStr">
        <is>
          <t xml:space="preserve">  ウェルピア（46,47,48,51,52管理費）</t>
        </is>
      </c>
      <c r="C45" s="14" t="n">
        <v>1000000</v>
      </c>
      <c r="D45" s="14" t="n">
        <v>1000000</v>
      </c>
      <c r="E45" s="14" t="n">
        <v>1000000</v>
      </c>
      <c r="F45" s="14" t="n">
        <v>1000000</v>
      </c>
      <c r="G45" s="14" t="n">
        <v>1000000</v>
      </c>
      <c r="H45" s="14" t="n"/>
      <c r="I45" s="10">
        <f>SUM(C45:H45)</f>
        <v/>
      </c>
      <c r="J45" s="41">
        <f>'大日産業（不動産）_上期_7-12月'!I50</f>
        <v/>
      </c>
      <c r="K45" s="42">
        <f>I45+J45</f>
        <v/>
      </c>
    </row>
    <row r="46" ht="13" customHeight="1">
      <c r="A46" s="8" t="inlineStr"/>
      <c r="B46" s="8" t="inlineStr">
        <is>
          <t xml:space="preserve">  ウェルピア　水道（偶数月）</t>
        </is>
      </c>
      <c r="C46" s="9" t="n"/>
      <c r="D46" s="9" t="n"/>
      <c r="E46" s="9" t="n"/>
      <c r="F46" s="9" t="n"/>
      <c r="G46" s="9" t="n"/>
      <c r="H46" s="9" t="n"/>
      <c r="I46" s="10">
        <f>SUM(C46:H46)</f>
        <v/>
      </c>
      <c r="J46" s="41" t="n"/>
      <c r="K46" s="42">
        <f>I46+J46</f>
        <v/>
      </c>
    </row>
    <row r="47" ht="13" customHeight="1">
      <c r="A47" s="8" t="inlineStr">
        <is>
          <t>25</t>
        </is>
      </c>
      <c r="B47" s="8" t="inlineStr">
        <is>
          <t xml:space="preserve">  河村土地　R12.6.25迄（93回〜96回）</t>
        </is>
      </c>
      <c r="C47" s="9" t="n">
        <v>113885</v>
      </c>
      <c r="D47" s="9" t="n">
        <v>112834</v>
      </c>
      <c r="E47" s="9" t="n">
        <v>114352</v>
      </c>
      <c r="F47" s="9" t="n">
        <v>113824</v>
      </c>
      <c r="G47" s="9" t="n"/>
      <c r="H47" s="9" t="n"/>
      <c r="I47" s="10">
        <f>SUM(C47:H47)</f>
        <v/>
      </c>
      <c r="J47" s="41">
        <f>'大日産業（不動産）_上期_7-12月'!I51</f>
        <v/>
      </c>
      <c r="K47" s="42">
        <f>I47+J47</f>
        <v/>
      </c>
    </row>
    <row r="48" ht="13" customHeight="1">
      <c r="A48" s="8" t="inlineStr">
        <is>
          <t>末</t>
        </is>
      </c>
      <c r="B48" s="8" t="inlineStr">
        <is>
          <t xml:space="preserve">  不動産振込　地権者</t>
        </is>
      </c>
      <c r="C48" s="14" t="n">
        <v>3190714</v>
      </c>
      <c r="D48" s="14" t="n">
        <v>3190714</v>
      </c>
      <c r="E48" s="14" t="n">
        <v>3190714</v>
      </c>
      <c r="F48" s="14" t="n">
        <v>3190714</v>
      </c>
      <c r="G48" s="14" t="n"/>
      <c r="H48" s="14" t="n"/>
      <c r="I48" s="10">
        <f>SUM(C48:H48)</f>
        <v/>
      </c>
      <c r="J48" s="41">
        <f>'大日産業（不動産）_上期_7-12月'!I52</f>
        <v/>
      </c>
      <c r="K48" s="42">
        <f>I48+J48</f>
        <v/>
      </c>
    </row>
    <row r="49" ht="13" customHeight="1">
      <c r="A49" s="8" t="inlineStr"/>
      <c r="B49" s="8" t="inlineStr">
        <is>
          <t xml:space="preserve">  清芳屋</t>
        </is>
      </c>
      <c r="C49" s="9" t="n"/>
      <c r="D49" s="9" t="n">
        <v>7750</v>
      </c>
      <c r="E49" s="9" t="n">
        <v>8000</v>
      </c>
      <c r="F49" s="9" t="n">
        <v>10900</v>
      </c>
      <c r="G49" s="9" t="n"/>
      <c r="H49" s="9" t="n"/>
      <c r="I49" s="10">
        <f>SUM(C49:H49)</f>
        <v/>
      </c>
      <c r="J49" s="41">
        <f>'大日産業（不動産）_上期_7-12月'!I53</f>
        <v/>
      </c>
      <c r="K49" s="42">
        <f>I49+J49</f>
        <v/>
      </c>
    </row>
    <row r="50" ht="13" customHeight="1">
      <c r="A50" s="8" t="inlineStr"/>
      <c r="B50" s="8" t="inlineStr">
        <is>
          <t xml:space="preserve">  創舎</t>
        </is>
      </c>
      <c r="C50" s="9" t="n">
        <v>148500</v>
      </c>
      <c r="D50" s="9" t="n"/>
      <c r="E50" s="9" t="n"/>
      <c r="F50" s="9" t="n"/>
      <c r="G50" s="9" t="n"/>
      <c r="H50" s="9" t="n"/>
      <c r="I50" s="10">
        <f>SUM(C50:H50)</f>
        <v/>
      </c>
      <c r="J50" s="41">
        <f>'大日産業（不動産）_上期_7-12月'!I61</f>
        <v/>
      </c>
      <c r="K50" s="42">
        <f>I50+J50</f>
        <v/>
      </c>
    </row>
    <row r="51" ht="13" customHeight="1">
      <c r="A51" s="8" t="inlineStr"/>
      <c r="B51" s="8" t="inlineStr">
        <is>
          <t xml:space="preserve">  綜合警備</t>
        </is>
      </c>
      <c r="C51" s="9" t="n"/>
      <c r="D51" s="9" t="n">
        <v>64350</v>
      </c>
      <c r="E51" s="9" t="n"/>
      <c r="F51" s="9" t="n"/>
      <c r="G51" s="9" t="n"/>
      <c r="H51" s="9" t="n"/>
      <c r="I51" s="10">
        <f>SUM(C51:H51)</f>
        <v/>
      </c>
      <c r="J51" s="41">
        <f>'大日産業（不動産）_上期_7-12月'!I58</f>
        <v/>
      </c>
      <c r="K51" s="42">
        <f>I51+J51</f>
        <v/>
      </c>
    </row>
    <row r="52" ht="13" customHeight="1">
      <c r="A52" s="8" t="inlineStr"/>
      <c r="B52" s="8" t="inlineStr">
        <is>
          <t xml:space="preserve">  その他　不動産月末当座支払い振込</t>
        </is>
      </c>
      <c r="C52" s="9" t="n"/>
      <c r="D52" s="9" t="n"/>
      <c r="E52" s="9" t="n"/>
      <c r="F52" s="9" t="n">
        <v>6596</v>
      </c>
      <c r="G52" s="9" t="n"/>
      <c r="H52" s="9" t="n"/>
      <c r="I52" s="10">
        <f>SUM(C52:H52)</f>
        <v/>
      </c>
      <c r="J52" s="41">
        <f>'大日産業（不動産）_上期_7-12月'!I59</f>
        <v/>
      </c>
      <c r="K52" s="42">
        <f>I52+J52</f>
        <v/>
      </c>
    </row>
    <row r="53" ht="13" customHeight="1">
      <c r="A53" s="8" t="inlineStr"/>
      <c r="B53" s="8" t="inlineStr">
        <is>
          <t xml:space="preserve">  GOLUCK　ウェルピア</t>
        </is>
      </c>
      <c r="C53" s="9" t="n">
        <v>10208</v>
      </c>
      <c r="D53" s="9" t="n"/>
      <c r="E53" s="9" t="n"/>
      <c r="F53" s="9" t="n"/>
      <c r="G53" s="9" t="n"/>
      <c r="H53" s="9" t="n"/>
      <c r="I53" s="10">
        <f>SUM(C53:H53)</f>
        <v/>
      </c>
      <c r="J53" s="41">
        <f>'大日産業（不動産）_上期_7-12月'!I60</f>
        <v/>
      </c>
      <c r="K53" s="42">
        <f>I53+J53</f>
        <v/>
      </c>
    </row>
    <row r="54" ht="13" customHeight="1">
      <c r="A54" s="8" t="inlineStr">
        <is>
          <t>20</t>
        </is>
      </c>
      <c r="B54" s="8" t="inlineStr">
        <is>
          <t xml:space="preserve">  不動産部門　社員給与（恩田）</t>
        </is>
      </c>
      <c r="C54" s="9" t="n"/>
      <c r="D54" s="9" t="n"/>
      <c r="E54" s="9" t="n"/>
      <c r="F54" s="9" t="n"/>
      <c r="G54" s="9" t="n"/>
      <c r="H54" s="9" t="n"/>
      <c r="I54" s="10">
        <f>SUM(C54:H54)</f>
        <v/>
      </c>
      <c r="J54" s="41">
        <f>'大日産業（不動産）_上期_7-12月'!I54</f>
        <v/>
      </c>
      <c r="K54" s="42">
        <f>I54+J54</f>
        <v/>
      </c>
    </row>
    <row r="55" ht="13" customHeight="1">
      <c r="A55" s="8" t="inlineStr"/>
      <c r="B55" s="8" t="inlineStr">
        <is>
          <t xml:space="preserve">  厚生年金　会社負担</t>
        </is>
      </c>
      <c r="C55" s="9" t="n"/>
      <c r="D55" s="9" t="n"/>
      <c r="E55" s="9" t="n"/>
      <c r="F55" s="9" t="n"/>
      <c r="G55" s="9" t="n"/>
      <c r="H55" s="9" t="n"/>
      <c r="I55" s="10">
        <f>SUM(C55:H55)</f>
        <v/>
      </c>
      <c r="J55" s="41">
        <f>'大日産業（不動産）_上期_7-12月'!I55</f>
        <v/>
      </c>
      <c r="K55" s="42">
        <f>I55+J55</f>
        <v/>
      </c>
    </row>
    <row r="56" ht="13" customHeight="1">
      <c r="A56" s="8" t="inlineStr"/>
      <c r="B56" s="8" t="inlineStr">
        <is>
          <t xml:space="preserve">  営業交通費</t>
        </is>
      </c>
      <c r="C56" s="9" t="n"/>
      <c r="D56" s="9" t="n"/>
      <c r="E56" s="9" t="n"/>
      <c r="F56" s="9" t="n"/>
      <c r="G56" s="9" t="n"/>
      <c r="H56" s="9" t="n"/>
      <c r="I56" s="10">
        <f>SUM(C56:H56)</f>
        <v/>
      </c>
      <c r="J56" s="41">
        <f>'大日産業（不動産）_上期_7-12月'!I56</f>
        <v/>
      </c>
      <c r="K56" s="42">
        <f>I56+J56</f>
        <v/>
      </c>
    </row>
    <row r="57" ht="13" customHeight="1">
      <c r="A57" s="8" t="inlineStr"/>
      <c r="B57" s="8" t="inlineStr">
        <is>
          <t xml:space="preserve">  寿食品</t>
        </is>
      </c>
      <c r="C57" s="9" t="n"/>
      <c r="D57" s="9" t="n"/>
      <c r="E57" s="9" t="n"/>
      <c r="F57" s="9" t="n"/>
      <c r="G57" s="9" t="n"/>
      <c r="H57" s="9" t="n"/>
      <c r="I57" s="10">
        <f>SUM(C57:H57)</f>
        <v/>
      </c>
      <c r="J57" s="41">
        <f>'大日産業（不動産）_上期_7-12月'!I62</f>
        <v/>
      </c>
      <c r="K57" s="42">
        <f>I57+J57</f>
        <v/>
      </c>
    </row>
    <row r="58" ht="13" customHeight="1">
      <c r="A58" s="8" t="inlineStr"/>
      <c r="B58" s="8" t="inlineStr">
        <is>
          <t xml:space="preserve">  ヤマト　宅急便</t>
        </is>
      </c>
      <c r="C58" s="9" t="n"/>
      <c r="D58" s="9" t="n"/>
      <c r="E58" s="9" t="n"/>
      <c r="F58" s="9" t="n"/>
      <c r="G58" s="9" t="n"/>
      <c r="H58" s="9" t="n"/>
      <c r="I58" s="10">
        <f>SUM(C58:H58)</f>
        <v/>
      </c>
      <c r="J58" s="41">
        <f>'大日産業（不動産）_上期_7-12月'!I63</f>
        <v/>
      </c>
      <c r="K58" s="42">
        <f>I58+J58</f>
        <v/>
      </c>
    </row>
    <row r="59" ht="13" customHeight="1">
      <c r="A59" s="8" t="inlineStr"/>
      <c r="B59" s="8" t="inlineStr">
        <is>
          <t xml:space="preserve">  ガーデンM保険年払（10月1.604.140）</t>
        </is>
      </c>
      <c r="C59" s="9" t="n"/>
      <c r="D59" s="9" t="n"/>
      <c r="E59" s="9" t="n"/>
      <c r="F59" s="9" t="n"/>
      <c r="G59" s="9" t="n"/>
      <c r="H59" s="9" t="n"/>
      <c r="I59" s="10">
        <f>SUM(C59:H59)</f>
        <v/>
      </c>
      <c r="J59" s="41" t="n"/>
      <c r="K59" s="42">
        <f>I59+J59</f>
        <v/>
      </c>
    </row>
    <row r="60" ht="12" customHeight="1">
      <c r="A60" s="11" t="n"/>
      <c r="B60" s="11" t="n"/>
      <c r="C60" s="12" t="n"/>
      <c r="D60" s="12" t="n"/>
      <c r="E60" s="12" t="n"/>
      <c r="F60" s="12" t="n"/>
      <c r="G60" s="12" t="n"/>
      <c r="H60" s="12" t="n"/>
      <c r="I60" s="13" t="n"/>
      <c r="J60" s="43" t="n"/>
      <c r="K60" s="44" t="n"/>
    </row>
    <row r="61" ht="14" customHeight="1">
      <c r="A61" s="4" t="n"/>
      <c r="B61" s="5" t="inlineStr">
        <is>
          <t>▶ 大共 自動振替</t>
        </is>
      </c>
      <c r="C61" s="6">
        <f>SUM(C62:C70)</f>
        <v/>
      </c>
      <c r="D61" s="6">
        <f>SUM(D62:D70)</f>
        <v/>
      </c>
      <c r="E61" s="6">
        <f>SUM(E62:E70)</f>
        <v/>
      </c>
      <c r="F61" s="6">
        <f>SUM(F62:F70)</f>
        <v/>
      </c>
      <c r="G61" s="6">
        <f>SUM(G62:G70)</f>
        <v/>
      </c>
      <c r="H61" s="6">
        <f>SUM(H62:H70)</f>
        <v/>
      </c>
      <c r="I61" s="7">
        <f>SUM(I62:I70)</f>
        <v/>
      </c>
      <c r="J61" s="39">
        <f>SUM(J62:J70)</f>
        <v/>
      </c>
      <c r="K61" s="40">
        <f>SUM(K62:K70)</f>
        <v/>
      </c>
    </row>
    <row r="62" ht="13" customHeight="1">
      <c r="A62" s="8" t="inlineStr"/>
      <c r="B62" s="8" t="inlineStr">
        <is>
          <t xml:space="preserve">  BLOCK47　２F厨房　共友R9.3まで</t>
        </is>
      </c>
      <c r="C62" s="14" t="n">
        <v>49610</v>
      </c>
      <c r="D62" s="14" t="n">
        <v>49610</v>
      </c>
      <c r="E62" s="14" t="n">
        <v>49610</v>
      </c>
      <c r="F62" s="14" t="n">
        <v>49610</v>
      </c>
      <c r="G62" s="14" t="n">
        <v>49610</v>
      </c>
      <c r="H62" s="14" t="n"/>
      <c r="I62" s="10">
        <f>SUM(C62:H62)</f>
        <v/>
      </c>
      <c r="J62" s="41">
        <f>'大日産業（不動産）_上期_7-12月'!I79</f>
        <v/>
      </c>
      <c r="K62" s="42">
        <f>I62+J62</f>
        <v/>
      </c>
    </row>
    <row r="63" ht="13" customHeight="1">
      <c r="A63" s="8" t="inlineStr">
        <is>
          <t>末</t>
        </is>
      </c>
      <c r="B63" s="8" t="inlineStr">
        <is>
          <t xml:space="preserve">  BLOCK47　6000万（38回〜41回）</t>
        </is>
      </c>
      <c r="C63" s="9" t="n">
        <v>330217</v>
      </c>
      <c r="D63" s="9" t="n">
        <v>332444</v>
      </c>
      <c r="E63" s="9" t="n">
        <v>344861</v>
      </c>
      <c r="F63" s="9" t="n">
        <v>350234</v>
      </c>
      <c r="G63" s="9" t="n"/>
      <c r="H63" s="9" t="n"/>
      <c r="I63" s="10">
        <f>SUM(C63:H63)</f>
        <v/>
      </c>
      <c r="J63" s="41">
        <f>'大日産業（不動産）_上期_7-12月'!I78</f>
        <v/>
      </c>
      <c r="K63" s="42">
        <f>I63+J63</f>
        <v/>
      </c>
    </row>
    <row r="64" ht="13" customHeight="1">
      <c r="A64" s="8" t="inlineStr">
        <is>
          <t>末</t>
        </is>
      </c>
      <c r="B64" s="8" t="inlineStr">
        <is>
          <t xml:space="preserve">  大共　積金分</t>
        </is>
      </c>
      <c r="C64" s="14" t="n">
        <v>200000</v>
      </c>
      <c r="D64" s="14" t="n">
        <v>200000</v>
      </c>
      <c r="E64" s="14" t="n">
        <v>200000</v>
      </c>
      <c r="F64" s="14" t="n">
        <v>200000</v>
      </c>
      <c r="G64" s="14" t="n">
        <v>200000</v>
      </c>
      <c r="H64" s="14" t="n"/>
      <c r="I64" s="10">
        <f>SUM(C64:H64)</f>
        <v/>
      </c>
      <c r="J64" s="41">
        <f>'大日産業（不動産）_上期_7-12月'!I81</f>
        <v/>
      </c>
      <c r="K64" s="42">
        <f>I64+J64</f>
        <v/>
      </c>
    </row>
    <row r="65" ht="13" customHeight="1">
      <c r="A65" s="8" t="inlineStr">
        <is>
          <t>5</t>
        </is>
      </c>
      <c r="B65" s="8" t="inlineStr">
        <is>
          <t xml:space="preserve">  2700万円R17.8.5迄52安藤（125回〜128回）</t>
        </is>
      </c>
      <c r="C65" s="9" t="n">
        <v>133377</v>
      </c>
      <c r="D65" s="9" t="n">
        <v>131192</v>
      </c>
      <c r="E65" s="9" t="n">
        <v>136462</v>
      </c>
      <c r="F65" s="9" t="n">
        <v>135507</v>
      </c>
      <c r="G65" s="9" t="n"/>
      <c r="H65" s="9" t="n"/>
      <c r="I65" s="10">
        <f>SUM(C65:H65)</f>
        <v/>
      </c>
      <c r="J65" s="41">
        <f>'大日産業（不動産）_上期_7-12月'!I74</f>
        <v/>
      </c>
      <c r="K65" s="42">
        <f>I65+J65</f>
        <v/>
      </c>
    </row>
    <row r="66" ht="13" customHeight="1">
      <c r="A66" s="8" t="inlineStr">
        <is>
          <t>5</t>
        </is>
      </c>
      <c r="B66" s="8" t="inlineStr">
        <is>
          <t xml:space="preserve">  3370万円　番土地（82回〜85回）</t>
        </is>
      </c>
      <c r="C66" s="9" t="n">
        <v>176290</v>
      </c>
      <c r="D66" s="9" t="n">
        <v>172621</v>
      </c>
      <c r="E66" s="9" t="n">
        <v>181776</v>
      </c>
      <c r="F66" s="9" t="n">
        <v>180229</v>
      </c>
      <c r="G66" s="9" t="n"/>
      <c r="H66" s="9" t="n"/>
      <c r="I66" s="10">
        <f>SUM(C66:H66)</f>
        <v/>
      </c>
      <c r="J66" s="41">
        <f>'大日産業（不動産）_上期_7-12月'!I75</f>
        <v/>
      </c>
      <c r="K66" s="42">
        <f>I66+J66</f>
        <v/>
      </c>
    </row>
    <row r="67" ht="13" customHeight="1">
      <c r="A67" s="8" t="inlineStr">
        <is>
          <t>末</t>
        </is>
      </c>
      <c r="B67" s="8" t="inlineStr">
        <is>
          <t xml:space="preserve">  1400万円Ｒ22.10.5　藤根（63回〜66回）</t>
        </is>
      </c>
      <c r="C67" s="9" t="n">
        <v>79030</v>
      </c>
      <c r="D67" s="9" t="n">
        <v>77244</v>
      </c>
      <c r="E67" s="9" t="n">
        <v>81745</v>
      </c>
      <c r="F67" s="9" t="n">
        <v>81000</v>
      </c>
      <c r="G67" s="9" t="n"/>
      <c r="H67" s="9" t="n"/>
      <c r="I67" s="10">
        <f>SUM(C67:H67)</f>
        <v/>
      </c>
      <c r="J67" s="41">
        <f>'大日産業（不動産）_上期_7-12月'!I76</f>
        <v/>
      </c>
      <c r="K67" s="42">
        <f>I67+J67</f>
        <v/>
      </c>
    </row>
    <row r="68" ht="13" customHeight="1">
      <c r="A68" s="8" t="inlineStr">
        <is>
          <t>末</t>
        </is>
      </c>
      <c r="B68" s="8" t="inlineStr">
        <is>
          <t xml:space="preserve">  51.52街区　9800万円（107回〜110回）</t>
        </is>
      </c>
      <c r="C68" s="9" t="n">
        <v>495545</v>
      </c>
      <c r="D68" s="9" t="n">
        <v>497991</v>
      </c>
      <c r="E68" s="9" t="n">
        <v>511389</v>
      </c>
      <c r="F68" s="9" t="n">
        <v>517441</v>
      </c>
      <c r="G68" s="9" t="n"/>
      <c r="H68" s="9" t="n"/>
      <c r="I68" s="10">
        <f>SUM(C68:H68)</f>
        <v/>
      </c>
      <c r="J68" s="41">
        <f>'大日産業（不動産）_上期_7-12月'!I77</f>
        <v/>
      </c>
      <c r="K68" s="42">
        <f>I68+J68</f>
        <v/>
      </c>
    </row>
    <row r="69" ht="13" customHeight="1">
      <c r="A69" s="8" t="inlineStr">
        <is>
          <t>末</t>
        </is>
      </c>
      <c r="B69" s="8" t="inlineStr">
        <is>
          <t xml:space="preserve">  IPラウンジ　2000万（22回〜25回）</t>
        </is>
      </c>
      <c r="C69" s="9" t="n">
        <v>190169</v>
      </c>
      <c r="D69" s="9" t="n">
        <v>190751</v>
      </c>
      <c r="E69" s="9" t="n">
        <v>194602</v>
      </c>
      <c r="F69" s="9" t="n">
        <v>196135</v>
      </c>
      <c r="G69" s="9" t="n"/>
      <c r="H69" s="9" t="n"/>
      <c r="I69" s="10">
        <f>SUM(C69:H69)</f>
        <v/>
      </c>
      <c r="J69" s="41">
        <f>'大日産業（不動産）_上期_7-12月'!I80</f>
        <v/>
      </c>
      <c r="K69" s="42">
        <f>I69+J69</f>
        <v/>
      </c>
    </row>
    <row r="70" ht="12" customHeight="1">
      <c r="A70" s="11" t="n"/>
      <c r="B70" s="11" t="n"/>
      <c r="C70" s="12" t="n"/>
      <c r="D70" s="12" t="n"/>
      <c r="E70" s="12" t="n"/>
      <c r="F70" s="12" t="n"/>
      <c r="G70" s="12" t="n"/>
      <c r="H70" s="12" t="n"/>
      <c r="I70" s="13" t="n"/>
      <c r="J70" s="43" t="n"/>
      <c r="K70" s="44" t="n"/>
    </row>
    <row r="71" ht="14" customHeight="1">
      <c r="A71" s="4" t="n"/>
      <c r="B71" s="5" t="inlineStr">
        <is>
          <t>▶ 十六 自動振替</t>
        </is>
      </c>
      <c r="C71" s="6">
        <f>SUM(C72:C81)</f>
        <v/>
      </c>
      <c r="D71" s="6">
        <f>SUM(D72:D81)</f>
        <v/>
      </c>
      <c r="E71" s="6">
        <f>SUM(E72:E81)</f>
        <v/>
      </c>
      <c r="F71" s="6">
        <f>SUM(F72:F81)</f>
        <v/>
      </c>
      <c r="G71" s="6">
        <f>SUM(G72:G81)</f>
        <v/>
      </c>
      <c r="H71" s="6">
        <f>SUM(H72:H81)</f>
        <v/>
      </c>
      <c r="I71" s="7">
        <f>SUM(I72:I81)</f>
        <v/>
      </c>
      <c r="J71" s="39">
        <f>SUM(J72:J81)</f>
        <v/>
      </c>
      <c r="K71" s="40">
        <f>SUM(K72:K81)</f>
        <v/>
      </c>
    </row>
    <row r="72" ht="13" customHeight="1">
      <c r="A72" s="8" t="inlineStr"/>
      <c r="B72" s="8" t="inlineStr">
        <is>
          <t xml:space="preserve">  十六リース　block４７（設備リース）</t>
        </is>
      </c>
      <c r="C72" s="14" t="n">
        <v>165220</v>
      </c>
      <c r="D72" s="14" t="n">
        <v>165220</v>
      </c>
      <c r="E72" s="14" t="n">
        <v>165220</v>
      </c>
      <c r="F72" s="14" t="n">
        <v>165220</v>
      </c>
      <c r="G72" s="14" t="n">
        <v>165220</v>
      </c>
      <c r="H72" s="14" t="n"/>
      <c r="I72" s="10">
        <f>SUM(C72:H72)</f>
        <v/>
      </c>
      <c r="J72" s="41">
        <f>'大日産業（不動産）_上期_7-12月'!I84</f>
        <v/>
      </c>
      <c r="K72" s="42">
        <f>I72+J72</f>
        <v/>
      </c>
    </row>
    <row r="73" ht="13" customHeight="1">
      <c r="A73" s="8" t="inlineStr"/>
      <c r="B73" s="8" t="inlineStr">
        <is>
          <t xml:space="preserve">  十六リース　block４７（設備割賦）</t>
        </is>
      </c>
      <c r="C73" s="14" t="n">
        <v>281270</v>
      </c>
      <c r="D73" s="14" t="n">
        <v>281270</v>
      </c>
      <c r="E73" s="14" t="n">
        <v>281270</v>
      </c>
      <c r="F73" s="14" t="n">
        <v>281270</v>
      </c>
      <c r="G73" s="14" t="n">
        <v>281270</v>
      </c>
      <c r="H73" s="14" t="n"/>
      <c r="I73" s="10">
        <f>SUM(C73:H73)</f>
        <v/>
      </c>
      <c r="J73" s="41">
        <f>'大日産業（不動産）_上期_7-12月'!I85</f>
        <v/>
      </c>
      <c r="K73" s="42">
        <f>I73+J73</f>
        <v/>
      </c>
    </row>
    <row r="74" ht="13" customHeight="1">
      <c r="A74" s="8" t="inlineStr"/>
      <c r="B74" s="8" t="inlineStr">
        <is>
          <t xml:space="preserve">  十六リースblock４７（植栽）R9.3迄</t>
        </is>
      </c>
      <c r="C74" s="14" t="n">
        <v>29100</v>
      </c>
      <c r="D74" s="14" t="n">
        <v>29100</v>
      </c>
      <c r="E74" s="14" t="n">
        <v>29100</v>
      </c>
      <c r="F74" s="14" t="n">
        <v>29100</v>
      </c>
      <c r="G74" s="14" t="n">
        <v>29100</v>
      </c>
      <c r="H74" s="14" t="n"/>
      <c r="I74" s="10">
        <f>SUM(C74:H74)</f>
        <v/>
      </c>
      <c r="J74" s="41">
        <f>'大日産業（不動産）_上期_7-12月'!I86</f>
        <v/>
      </c>
      <c r="K74" s="42">
        <f>I74+J74</f>
        <v/>
      </c>
    </row>
    <row r="75" ht="13" customHeight="1">
      <c r="A75" s="8" t="inlineStr"/>
      <c r="B75" s="8" t="inlineStr">
        <is>
          <t xml:space="preserve">  ラーメン店券売機　60回　R4.11～R9.10</t>
        </is>
      </c>
      <c r="C75" s="14" t="n">
        <v>11660</v>
      </c>
      <c r="D75" s="14" t="n">
        <v>11660</v>
      </c>
      <c r="E75" s="14" t="n">
        <v>11660</v>
      </c>
      <c r="F75" s="14" t="n">
        <v>11660</v>
      </c>
      <c r="G75" s="14" t="n">
        <v>11660</v>
      </c>
      <c r="H75" s="14" t="n"/>
      <c r="I75" s="10">
        <f>SUM(C75:H75)</f>
        <v/>
      </c>
      <c r="J75" s="41">
        <f>'大日産業（不動産）_上期_7-12月'!I87</f>
        <v/>
      </c>
      <c r="K75" s="42">
        <f>I75+J75</f>
        <v/>
      </c>
    </row>
    <row r="76" ht="13" customHeight="1">
      <c r="A76" s="8" t="inlineStr"/>
      <c r="B76" s="8" t="inlineStr">
        <is>
          <t xml:space="preserve">  BLOCK防犯カメラ　60回　R4.11～R9.10</t>
        </is>
      </c>
      <c r="C76" s="14" t="n">
        <v>62150</v>
      </c>
      <c r="D76" s="14" t="n">
        <v>62150</v>
      </c>
      <c r="E76" s="14" t="n">
        <v>62150</v>
      </c>
      <c r="F76" s="14" t="n">
        <v>62150</v>
      </c>
      <c r="G76" s="14" t="n">
        <v>62150</v>
      </c>
      <c r="H76" s="14" t="n"/>
      <c r="I76" s="10">
        <f>SUM(C76:H76)</f>
        <v/>
      </c>
      <c r="J76" s="41">
        <f>'大日産業（不動産）_上期_7-12月'!I88</f>
        <v/>
      </c>
      <c r="K76" s="42">
        <f>I76+J76</f>
        <v/>
      </c>
    </row>
    <row r="77" ht="13" customHeight="1">
      <c r="A77" s="8" t="inlineStr"/>
      <c r="B77" s="8" t="inlineStr">
        <is>
          <t xml:space="preserve">  BLOCK47　6000万（38回〜41回）</t>
        </is>
      </c>
      <c r="C77" s="9" t="n">
        <v>329273</v>
      </c>
      <c r="D77" s="9" t="n">
        <v>331503</v>
      </c>
      <c r="E77" s="9" t="n">
        <v>348021</v>
      </c>
      <c r="F77" s="9" t="n">
        <v>353651</v>
      </c>
      <c r="G77" s="9" t="n"/>
      <c r="H77" s="9" t="n"/>
      <c r="I77" s="10">
        <f>SUM(C77:H77)</f>
        <v/>
      </c>
      <c r="J77" s="41">
        <f>'大日産業（不動産）_上期_7-12月'!I89</f>
        <v/>
      </c>
      <c r="K77" s="42">
        <f>I77+J77</f>
        <v/>
      </c>
    </row>
    <row r="78" ht="13" customHeight="1">
      <c r="A78" s="8" t="inlineStr">
        <is>
          <t>20</t>
        </is>
      </c>
      <c r="B78" s="8" t="inlineStr">
        <is>
          <t xml:space="preserve">  積金（レジデンス保証金）</t>
        </is>
      </c>
      <c r="C78" s="14" t="n">
        <v>200000</v>
      </c>
      <c r="D78" s="14" t="n">
        <v>200000</v>
      </c>
      <c r="E78" s="14" t="n">
        <v>200000</v>
      </c>
      <c r="F78" s="14" t="n">
        <v>200000</v>
      </c>
      <c r="G78" s="14" t="n">
        <v>200000</v>
      </c>
      <c r="H78" s="14" t="n"/>
      <c r="I78" s="10">
        <f>SUM(C78:H78)</f>
        <v/>
      </c>
      <c r="J78" s="41">
        <f>'大日産業（不動産）_上期_7-12月'!I90</f>
        <v/>
      </c>
      <c r="K78" s="42">
        <f>I78+J78</f>
        <v/>
      </c>
    </row>
    <row r="79" ht="13" customHeight="1">
      <c r="A79" s="8" t="inlineStr">
        <is>
          <t>20</t>
        </is>
      </c>
      <c r="B79" s="8" t="inlineStr">
        <is>
          <t xml:space="preserve">  1億5千　レジデンス（102回〜105回）</t>
        </is>
      </c>
      <c r="C79" s="9" t="n">
        <v>771403</v>
      </c>
      <c r="D79" s="9" t="n">
        <v>770254</v>
      </c>
      <c r="E79" s="9" t="n">
        <v>775832</v>
      </c>
      <c r="F79" s="9" t="n">
        <v>783952</v>
      </c>
      <c r="G79" s="9" t="n"/>
      <c r="H79" s="9" t="n"/>
      <c r="I79" s="10">
        <f>SUM(C79:H79)</f>
        <v/>
      </c>
      <c r="J79" s="41">
        <f>'大日産業（不動産）_上期_7-12月'!I91</f>
        <v/>
      </c>
      <c r="K79" s="42">
        <f>I79+J79</f>
        <v/>
      </c>
    </row>
    <row r="80" ht="13" customHeight="1">
      <c r="A80" s="8" t="inlineStr">
        <is>
          <t>30</t>
        </is>
      </c>
      <c r="B80" s="8" t="inlineStr">
        <is>
          <t xml:space="preserve">  51.52街区　9800万円（107回〜110回）</t>
        </is>
      </c>
      <c r="C80" s="9" t="n">
        <v>495545</v>
      </c>
      <c r="D80" s="9" t="n">
        <v>497991</v>
      </c>
      <c r="E80" s="9" t="n">
        <v>515789</v>
      </c>
      <c r="F80" s="9" t="n">
        <v>522098</v>
      </c>
      <c r="G80" s="9" t="n"/>
      <c r="H80" s="9" t="n"/>
      <c r="I80" s="10">
        <f>SUM(C80:H80)</f>
        <v/>
      </c>
      <c r="J80" s="41">
        <f>'大日産業（不動産）_上期_7-12月'!I92</f>
        <v/>
      </c>
      <c r="K80" s="42">
        <f>I80+J80</f>
        <v/>
      </c>
    </row>
    <row r="81" ht="1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3" t="n"/>
      <c r="J81" s="43" t="n"/>
      <c r="K81" s="44" t="n"/>
    </row>
    <row r="82" ht="14" customHeight="1">
      <c r="A82" s="4" t="n"/>
      <c r="B82" s="5" t="inlineStr">
        <is>
          <t>▶ ヤマト　宅急便</t>
        </is>
      </c>
      <c r="C82" s="6">
        <f>SUM(C83:C85)</f>
        <v/>
      </c>
      <c r="D82" s="6">
        <f>SUM(D83:D85)</f>
        <v/>
      </c>
      <c r="E82" s="6">
        <f>SUM(E83:E85)</f>
        <v/>
      </c>
      <c r="F82" s="6">
        <f>SUM(F83:F85)</f>
        <v/>
      </c>
      <c r="G82" s="6">
        <f>SUM(G83:G85)</f>
        <v/>
      </c>
      <c r="H82" s="6">
        <f>SUM(H83:H85)</f>
        <v/>
      </c>
      <c r="I82" s="7">
        <f>SUM(I83:I85)</f>
        <v/>
      </c>
      <c r="J82" s="39">
        <f>SUM(J83:J85)</f>
        <v/>
      </c>
      <c r="K82" s="40">
        <f>SUM(K83:K85)</f>
        <v/>
      </c>
    </row>
    <row r="83" ht="13" customHeight="1">
      <c r="A83" s="8" t="inlineStr"/>
      <c r="B83" s="8" t="inlineStr">
        <is>
          <t xml:space="preserve">  しんきんBLOCK47２F　複合機60回</t>
        </is>
      </c>
      <c r="C83" s="14" t="n"/>
      <c r="D83" s="14" t="n">
        <v>10670</v>
      </c>
      <c r="E83" s="14" t="n">
        <v>10670</v>
      </c>
      <c r="F83" s="14" t="n">
        <v>10670</v>
      </c>
      <c r="G83" s="14" t="n">
        <v>10670</v>
      </c>
      <c r="H83" s="14" t="n"/>
      <c r="I83" s="10">
        <f>SUM(C83:H83)</f>
        <v/>
      </c>
      <c r="J83" s="41">
        <f>'大日産業（不動産）_上期_7-12月'!I66</f>
        <v/>
      </c>
      <c r="K83" s="42">
        <f>I83+J83</f>
        <v/>
      </c>
    </row>
    <row r="84" ht="13" customHeight="1">
      <c r="A84" s="8" t="inlineStr"/>
      <c r="B84" s="8" t="inlineStr">
        <is>
          <t xml:space="preserve">  GOLUCK　ウェルピア</t>
        </is>
      </c>
      <c r="C84" s="14" t="n"/>
      <c r="D84" s="14" t="n">
        <v>10208</v>
      </c>
      <c r="E84" s="14" t="n">
        <v>10208</v>
      </c>
      <c r="F84" s="14" t="n">
        <v>10208</v>
      </c>
      <c r="G84" s="14" t="n">
        <v>10208</v>
      </c>
      <c r="H84" s="14" t="n"/>
      <c r="I84" s="10">
        <f>SUM(C84:H84)</f>
        <v/>
      </c>
      <c r="J84" s="41">
        <f>'大日産業（不動産）_上期_7-12月'!I67</f>
        <v/>
      </c>
      <c r="K84" s="42">
        <f>I84+J84</f>
        <v/>
      </c>
    </row>
    <row r="85" ht="1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3" t="n"/>
      <c r="J85" s="43" t="n"/>
      <c r="K85" s="44" t="n"/>
    </row>
    <row r="86" ht="14" customHeight="1">
      <c r="A86" s="4" t="n"/>
      <c r="B86" s="5" t="inlineStr">
        <is>
          <t>▶ ウェルピア　水道（偶数月）</t>
        </is>
      </c>
      <c r="C86" s="6">
        <f>SUM(C87:C89)</f>
        <v/>
      </c>
      <c r="D86" s="6">
        <f>SUM(D87:D89)</f>
        <v/>
      </c>
      <c r="E86" s="6">
        <f>SUM(E87:E89)</f>
        <v/>
      </c>
      <c r="F86" s="6">
        <f>SUM(F87:F89)</f>
        <v/>
      </c>
      <c r="G86" s="6">
        <f>SUM(G87:G89)</f>
        <v/>
      </c>
      <c r="H86" s="6">
        <f>SUM(H87:H89)</f>
        <v/>
      </c>
      <c r="I86" s="7">
        <f>SUM(I87:I89)</f>
        <v/>
      </c>
      <c r="J86" s="39">
        <f>SUM(J87:J89)</f>
        <v/>
      </c>
      <c r="K86" s="40">
        <f>SUM(K87:K89)</f>
        <v/>
      </c>
    </row>
    <row r="87" ht="13" customHeight="1">
      <c r="A87" s="8" t="inlineStr"/>
      <c r="B87" s="8" t="inlineStr">
        <is>
          <t xml:space="preserve">  BLOCK保険　月払　50380/2600</t>
        </is>
      </c>
      <c r="C87" s="14" t="n"/>
      <c r="D87" s="14" t="n">
        <v>50380</v>
      </c>
      <c r="E87" s="14" t="n">
        <v>50380</v>
      </c>
      <c r="F87" s="14" t="n">
        <v>50380</v>
      </c>
      <c r="G87" s="14" t="n">
        <v>50380</v>
      </c>
      <c r="H87" s="14" t="n"/>
      <c r="I87" s="10">
        <f>SUM(C87:H87)</f>
        <v/>
      </c>
      <c r="J87" s="41">
        <f>'大日産業（不動産）_上期_7-12月'!I95</f>
        <v/>
      </c>
      <c r="K87" s="42">
        <f>I87+J87</f>
        <v/>
      </c>
    </row>
    <row r="88" ht="13" customHeight="1">
      <c r="A88" s="8" t="inlineStr"/>
      <c r="B88" s="8" t="inlineStr">
        <is>
          <t xml:space="preserve">  ガーデンM保険年払（10月1.604.140）</t>
        </is>
      </c>
      <c r="C88" s="9" t="n"/>
      <c r="D88" s="9" t="n"/>
      <c r="E88" s="9" t="n"/>
      <c r="F88" s="9" t="n"/>
      <c r="G88" s="9" t="n"/>
      <c r="H88" s="9" t="n"/>
      <c r="I88" s="10">
        <f>SUM(C88:H88)</f>
        <v/>
      </c>
      <c r="J88" s="41">
        <f>'大日産業（不動産）_上期_7-12月'!I96</f>
        <v/>
      </c>
      <c r="K88" s="42">
        <f>I88+J88</f>
        <v/>
      </c>
    </row>
    <row r="89" ht="1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3" t="n"/>
      <c r="J89" s="43" t="n"/>
      <c r="K89" s="44" t="n"/>
    </row>
    <row r="90" ht="14" customHeight="1">
      <c r="A90" s="4" t="n"/>
      <c r="B90" s="5" t="inlineStr">
        <is>
          <t>▶ BLOCK47　電気料金</t>
        </is>
      </c>
      <c r="C90" s="6">
        <f>SUM(C91:C93)</f>
        <v/>
      </c>
      <c r="D90" s="6">
        <f>SUM(D91:D93)</f>
        <v/>
      </c>
      <c r="E90" s="6">
        <f>SUM(E91:E93)</f>
        <v/>
      </c>
      <c r="F90" s="6">
        <f>SUM(F91:F93)</f>
        <v/>
      </c>
      <c r="G90" s="6">
        <f>SUM(G91:G93)</f>
        <v/>
      </c>
      <c r="H90" s="6">
        <f>SUM(H91:H93)</f>
        <v/>
      </c>
      <c r="I90" s="7">
        <f>SUM(I91:I93)</f>
        <v/>
      </c>
      <c r="J90" s="39">
        <f>SUM(J91:J93)</f>
        <v/>
      </c>
      <c r="K90" s="40">
        <f>SUM(K91:K93)</f>
        <v/>
      </c>
    </row>
    <row r="91" ht="13" customHeight="1">
      <c r="A91" s="8" t="inlineStr"/>
      <c r="B91" s="8" t="inlineStr">
        <is>
          <t xml:space="preserve">  BLOCK47　ガス料金（空調）</t>
        </is>
      </c>
      <c r="C91" s="9" t="n"/>
      <c r="D91" s="9" t="n"/>
      <c r="E91" s="9" t="n"/>
      <c r="F91" s="9" t="n">
        <v>27873</v>
      </c>
      <c r="G91" s="9" t="n"/>
      <c r="H91" s="9" t="n"/>
      <c r="I91" s="10">
        <f>SUM(C91:H91)</f>
        <v/>
      </c>
      <c r="J91" s="41" t="n"/>
      <c r="K91" s="42">
        <f>I91+J91</f>
        <v/>
      </c>
    </row>
    <row r="92" ht="13" customHeight="1">
      <c r="A92" s="8" t="inlineStr"/>
      <c r="B92" s="8" t="inlineStr">
        <is>
          <t xml:space="preserve">  BLOCK47　ガス料金（給湯）</t>
        </is>
      </c>
      <c r="C92" s="9" t="n"/>
      <c r="D92" s="9" t="n"/>
      <c r="E92" s="9" t="n"/>
      <c r="F92" s="9" t="n"/>
      <c r="G92" s="9" t="n"/>
      <c r="H92" s="9" t="n"/>
      <c r="I92" s="10">
        <f>SUM(C92:H92)</f>
        <v/>
      </c>
      <c r="J92" s="41" t="n"/>
      <c r="K92" s="42">
        <f>I92+J92</f>
        <v/>
      </c>
    </row>
    <row r="93" ht="1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3" t="n"/>
      <c r="J93" s="43" t="n"/>
      <c r="K93" s="44" t="n"/>
    </row>
    <row r="94" ht="14" customHeight="1">
      <c r="A94" s="4" t="n"/>
      <c r="B94" s="5" t="inlineStr">
        <is>
          <t>▶ BLOCK47　通信　テレマーカー</t>
        </is>
      </c>
      <c r="C94" s="6">
        <f>SUM(C95:C102)</f>
        <v/>
      </c>
      <c r="D94" s="6">
        <f>SUM(D95:D102)</f>
        <v/>
      </c>
      <c r="E94" s="6">
        <f>SUM(E95:E102)</f>
        <v/>
      </c>
      <c r="F94" s="6">
        <f>SUM(F95:F102)</f>
        <v/>
      </c>
      <c r="G94" s="6">
        <f>SUM(G95:G102)</f>
        <v/>
      </c>
      <c r="H94" s="6">
        <f>SUM(H95:H102)</f>
        <v/>
      </c>
      <c r="I94" s="7">
        <f>SUM(I95:I102)</f>
        <v/>
      </c>
      <c r="J94" s="39">
        <f>SUM(J95:J102)</f>
        <v/>
      </c>
      <c r="K94" s="40">
        <f>SUM(K95:K102)</f>
        <v/>
      </c>
    </row>
    <row r="95" ht="13" customHeight="1">
      <c r="A95" s="8" t="inlineStr"/>
      <c r="B95" s="8" t="inlineStr">
        <is>
          <t xml:space="preserve">  BLOCK47　Wi-Fi　NTT（テレマーカー）</t>
        </is>
      </c>
      <c r="C95" s="14" t="n"/>
      <c r="D95" s="14" t="n"/>
      <c r="E95" s="14" t="n"/>
      <c r="F95" s="14" t="n">
        <v>15950</v>
      </c>
      <c r="G95" s="14" t="n">
        <v>15950</v>
      </c>
      <c r="H95" s="14" t="n"/>
      <c r="I95" s="10">
        <f>SUM(C95:H95)</f>
        <v/>
      </c>
      <c r="J95" s="41" t="n"/>
      <c r="K95" s="42">
        <f>I95+J95</f>
        <v/>
      </c>
    </row>
    <row r="96" ht="13" customHeight="1">
      <c r="A96" s="8" t="inlineStr">
        <is>
          <t>26</t>
        </is>
      </c>
      <c r="B96" s="8" t="inlineStr">
        <is>
          <t xml:space="preserve">  BLOCK　ALSOK　入金機</t>
        </is>
      </c>
      <c r="C96" s="14" t="n"/>
      <c r="D96" s="14" t="n"/>
      <c r="E96" s="14" t="n"/>
      <c r="F96" s="14" t="n">
        <v>62150</v>
      </c>
      <c r="G96" s="14" t="n">
        <v>62150</v>
      </c>
      <c r="H96" s="14" t="n"/>
      <c r="I96" s="10">
        <f>SUM(C96:H96)</f>
        <v/>
      </c>
      <c r="J96" s="41" t="n"/>
      <c r="K96" s="42">
        <f>I96+J96</f>
        <v/>
      </c>
    </row>
    <row r="97" ht="13" customHeight="1">
      <c r="A97" s="8" t="inlineStr"/>
      <c r="B97" s="8" t="inlineStr">
        <is>
          <t xml:space="preserve">  BLOCK　ALSOK　施設警備</t>
        </is>
      </c>
      <c r="C97" s="14" t="n"/>
      <c r="D97" s="14" t="n"/>
      <c r="E97" s="14" t="n"/>
      <c r="F97" s="14" t="n">
        <v>21450</v>
      </c>
      <c r="G97" s="14" t="n">
        <v>21450</v>
      </c>
      <c r="H97" s="14" t="n"/>
      <c r="I97" s="10">
        <f>SUM(C97:H97)</f>
        <v/>
      </c>
      <c r="J97" s="41" t="n"/>
      <c r="K97" s="42">
        <f>I97+J97</f>
        <v/>
      </c>
    </row>
    <row r="98" ht="13" customHeight="1">
      <c r="A98" s="8" t="inlineStr">
        <is>
          <t>6</t>
        </is>
      </c>
      <c r="B98" s="8" t="inlineStr">
        <is>
          <t xml:space="preserve">  東芝エレベーター（保守）</t>
        </is>
      </c>
      <c r="C98" s="14" t="n"/>
      <c r="D98" s="14" t="n"/>
      <c r="E98" s="14" t="n"/>
      <c r="F98" s="14" t="n">
        <v>14300</v>
      </c>
      <c r="G98" s="14" t="n">
        <v>14300</v>
      </c>
      <c r="H98" s="14" t="n"/>
      <c r="I98" s="10">
        <f>SUM(C98:H98)</f>
        <v/>
      </c>
      <c r="J98" s="41" t="n"/>
      <c r="K98" s="42">
        <f>I98+J98</f>
        <v/>
      </c>
    </row>
    <row r="99" ht="13" customHeight="1">
      <c r="A99" s="8" t="inlineStr">
        <is>
          <t>27</t>
        </is>
      </c>
      <c r="B99" s="8" t="inlineStr">
        <is>
          <t xml:space="preserve">  オリエント　O2　71回払い</t>
        </is>
      </c>
      <c r="C99" s="14" t="n"/>
      <c r="D99" s="14" t="n"/>
      <c r="E99" s="14" t="n"/>
      <c r="F99" s="14" t="n">
        <v>60500</v>
      </c>
      <c r="G99" s="14" t="n">
        <v>60500</v>
      </c>
      <c r="H99" s="14" t="n"/>
      <c r="I99" s="10">
        <f>SUM(C99:H99)</f>
        <v/>
      </c>
      <c r="J99" s="41" t="n"/>
      <c r="K99" s="42">
        <f>I99+J99</f>
        <v/>
      </c>
    </row>
    <row r="100" ht="13" customHeight="1">
      <c r="A100" s="8" t="inlineStr"/>
      <c r="B100" s="8" t="inlineStr">
        <is>
          <t xml:space="preserve">  豚ギドラ　ガラス</t>
        </is>
      </c>
      <c r="C100" s="9" t="n"/>
      <c r="D100" s="9" t="n"/>
      <c r="E100" s="9" t="n"/>
      <c r="F100" s="9" t="n">
        <v>389532</v>
      </c>
      <c r="G100" s="9" t="n"/>
      <c r="H100" s="9" t="n"/>
      <c r="I100" s="10">
        <f>SUM(C100:H100)</f>
        <v/>
      </c>
      <c r="J100" s="41" t="n"/>
      <c r="K100" s="42">
        <f>I100+J100</f>
        <v/>
      </c>
    </row>
    <row r="101" ht="13" customHeight="1">
      <c r="A101" s="8" t="inlineStr"/>
      <c r="B101" s="8" t="inlineStr">
        <is>
          <t xml:space="preserve">  水路独占使用料　年１回</t>
        </is>
      </c>
      <c r="C101" s="9" t="n"/>
      <c r="D101" s="9" t="n"/>
      <c r="E101" s="9" t="n"/>
      <c r="F101" s="9" t="n">
        <v>77000</v>
      </c>
      <c r="G101" s="9" t="n"/>
      <c r="H101" s="9" t="n"/>
      <c r="I101" s="10">
        <f>SUM(C101:H101)</f>
        <v/>
      </c>
      <c r="J101" s="41" t="n"/>
      <c r="K101" s="42">
        <f>I101+J101</f>
        <v/>
      </c>
    </row>
    <row r="102" ht="12" customHeight="1">
      <c r="A102" s="11" t="n"/>
      <c r="B102" s="11" t="n"/>
      <c r="C102" s="12" t="n"/>
      <c r="D102" s="12" t="n"/>
      <c r="E102" s="12" t="n"/>
      <c r="F102" s="12" t="n"/>
      <c r="G102" s="12" t="n"/>
      <c r="H102" s="12" t="n"/>
      <c r="I102" s="13" t="n"/>
      <c r="J102" s="43" t="n"/>
      <c r="K102" s="44" t="n"/>
    </row>
    <row r="103" ht="14" customHeight="1">
      <c r="A103" s="4" t="n"/>
      <c r="B103" s="5" t="inlineStr">
        <is>
          <t>▶ 6000万円　BLOCK４７　　234×41</t>
        </is>
      </c>
      <c r="C103" s="6">
        <f>SUM(C104:C105)</f>
        <v/>
      </c>
      <c r="D103" s="6">
        <f>SUM(D104:D105)</f>
        <v/>
      </c>
      <c r="E103" s="6">
        <f>SUM(E104:E105)</f>
        <v/>
      </c>
      <c r="F103" s="6">
        <f>SUM(F104:F105)</f>
        <v/>
      </c>
      <c r="G103" s="6">
        <f>SUM(G104:G105)</f>
        <v/>
      </c>
      <c r="H103" s="6">
        <f>SUM(H104:H105)</f>
        <v/>
      </c>
      <c r="I103" s="7">
        <f>SUM(I104:I105)</f>
        <v/>
      </c>
      <c r="J103" s="39">
        <f>SUM(J104:J105)</f>
        <v/>
      </c>
      <c r="K103" s="40">
        <f>SUM(K104:K105)</f>
        <v/>
      </c>
    </row>
    <row r="104" ht="13" customHeight="1">
      <c r="A104" s="8" t="inlineStr"/>
      <c r="B104" s="8" t="inlineStr">
        <is>
          <t xml:space="preserve">  岐信　積金分（テナント保証金）</t>
        </is>
      </c>
      <c r="C104" s="9" t="n"/>
      <c r="D104" s="9" t="n"/>
      <c r="E104" s="9" t="n"/>
      <c r="F104" s="9" t="n"/>
      <c r="G104" s="9" t="n">
        <v>100000</v>
      </c>
      <c r="H104" s="9" t="n"/>
      <c r="I104" s="10">
        <f>SUM(C104:H104)</f>
        <v/>
      </c>
      <c r="J104" s="41" t="n"/>
      <c r="K104" s="42">
        <f>I104+J104</f>
        <v/>
      </c>
    </row>
    <row r="105" ht="1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3" t="n"/>
      <c r="J105" s="43" t="n"/>
      <c r="K105" s="44" t="n"/>
    </row>
    <row r="106" ht="15" customHeight="1">
      <c r="A106" s="15" t="n"/>
      <c r="B106" s="16" t="inlineStr">
        <is>
          <t>① 支出合計</t>
        </is>
      </c>
      <c r="C106" s="17">
        <f>C4+C32+C37+C61+C71+C82+C86+C90+C94+C103</f>
        <v/>
      </c>
      <c r="D106" s="17">
        <f>D4+D32+D37+D61+D71+D82+D86+D90+D94+D103</f>
        <v/>
      </c>
      <c r="E106" s="17">
        <f>E4+E32+E37+E61+E71+E82+E86+E90+E94+E103</f>
        <v/>
      </c>
      <c r="F106" s="17">
        <f>F4+F32+F37+F61+F71+F82+F86+F90+F94+F103</f>
        <v/>
      </c>
      <c r="G106" s="17">
        <f>G4+G32+G37+G61+G71+G82+G86+G90+G94+G103</f>
        <v/>
      </c>
      <c r="H106" s="17">
        <f>H4+H32+H37+H61+H71+H82+H86+H90+H94+H103</f>
        <v/>
      </c>
      <c r="I106" s="7">
        <f>I4+I32+I37+I61+I71+I82+I86+I90+I94+I103</f>
        <v/>
      </c>
      <c r="J106" s="39">
        <f>J4+J32+J37+J61+J71+J82+J86+J90+J94+J103</f>
        <v/>
      </c>
      <c r="K106" s="40">
        <f>K4+K32+K37+K61+K71+K82+K86+K90+K94+K103</f>
        <v/>
      </c>
    </row>
    <row r="108" ht="16" customHeight="1">
      <c r="A108" s="18" t="inlineStr">
        <is>
          <t>【 ② 収　入（売上・粗利・雑収入など） 】</t>
        </is>
      </c>
    </row>
    <row r="109" ht="14" customHeight="1">
      <c r="A109" s="19" t="n"/>
      <c r="B109" s="20" t="inlineStr">
        <is>
          <t>▶ テナント収入</t>
        </is>
      </c>
      <c r="C109" s="21">
        <f>SUM(C110:C135)</f>
        <v/>
      </c>
      <c r="D109" s="21">
        <f>SUM(D110:D135)</f>
        <v/>
      </c>
      <c r="E109" s="21">
        <f>SUM(E110:E135)</f>
        <v/>
      </c>
      <c r="F109" s="21">
        <f>SUM(F110:F135)</f>
        <v/>
      </c>
      <c r="G109" s="21">
        <f>SUM(G110:G135)</f>
        <v/>
      </c>
      <c r="H109" s="21">
        <f>SUM(H110:H135)</f>
        <v/>
      </c>
      <c r="I109" s="7">
        <f>SUM(I110:I135)</f>
        <v/>
      </c>
      <c r="J109" s="39">
        <f>SUM(J110:J135)</f>
        <v/>
      </c>
      <c r="K109" s="40">
        <f>SUM(K110:K135)</f>
        <v/>
      </c>
    </row>
    <row r="110" ht="13" customHeight="1">
      <c r="A110" s="22" t="inlineStr">
        <is>
          <t>46</t>
        </is>
      </c>
      <c r="B110" s="22" t="inlineStr">
        <is>
          <t xml:space="preserve">  レジデンス　日本シニア</t>
        </is>
      </c>
      <c r="C110" s="24" t="n">
        <v>3762000</v>
      </c>
      <c r="D110" s="24" t="n">
        <v>3762000</v>
      </c>
      <c r="E110" s="24" t="n">
        <v>3762000</v>
      </c>
      <c r="F110" s="24" t="n">
        <v>3762000</v>
      </c>
      <c r="G110" s="24" t="n">
        <v>3762000</v>
      </c>
      <c r="H110" s="24" t="n"/>
      <c r="I110" s="10">
        <f>SUM(C110:H110)</f>
        <v/>
      </c>
      <c r="J110" s="41">
        <f>'大日産業（不動産）_上期_7-12月'!I103</f>
        <v/>
      </c>
      <c r="K110" s="42">
        <f>I110+J110</f>
        <v/>
      </c>
    </row>
    <row r="111" ht="13" customHeight="1">
      <c r="A111" s="22" t="inlineStr">
        <is>
          <t>46</t>
        </is>
      </c>
      <c r="B111" s="22" t="inlineStr">
        <is>
          <t xml:space="preserve">  日本シニアサービス　看板料</t>
        </is>
      </c>
      <c r="C111" s="24" t="n">
        <v>22000</v>
      </c>
      <c r="D111" s="24" t="n">
        <v>22000</v>
      </c>
      <c r="E111" s="24" t="n">
        <v>22000</v>
      </c>
      <c r="F111" s="24" t="n">
        <v>22000</v>
      </c>
      <c r="G111" s="24" t="n">
        <v>22000</v>
      </c>
      <c r="H111" s="24" t="n"/>
      <c r="I111" s="10">
        <f>SUM(C111:H111)</f>
        <v/>
      </c>
      <c r="J111" s="41">
        <f>'大日産業（不動産）_上期_7-12月'!I104</f>
        <v/>
      </c>
      <c r="K111" s="42">
        <f>I111+J111</f>
        <v/>
      </c>
    </row>
    <row r="112" ht="13" customHeight="1">
      <c r="A112" s="22" t="inlineStr">
        <is>
          <t>51</t>
        </is>
      </c>
      <c r="B112" s="22" t="inlineStr">
        <is>
          <t xml:space="preserve">  イマス　スターバックス</t>
        </is>
      </c>
      <c r="C112" s="24" t="n">
        <v>550000</v>
      </c>
      <c r="D112" s="24" t="n">
        <v>550000</v>
      </c>
      <c r="E112" s="24" t="n">
        <v>550000</v>
      </c>
      <c r="F112" s="24" t="n">
        <v>550000</v>
      </c>
      <c r="G112" s="24" t="n">
        <v>550000</v>
      </c>
      <c r="H112" s="24" t="n"/>
      <c r="I112" s="10">
        <f>SUM(C112:H112)</f>
        <v/>
      </c>
      <c r="J112" s="41">
        <f>'大日産業（不動産）_上期_7-12月'!I105</f>
        <v/>
      </c>
      <c r="K112" s="42">
        <f>I112+J112</f>
        <v/>
      </c>
    </row>
    <row r="113" ht="13" customHeight="1">
      <c r="A113" s="22" t="inlineStr">
        <is>
          <t>51</t>
        </is>
      </c>
      <c r="B113" s="22" t="inlineStr">
        <is>
          <t xml:space="preserve">  ムカイ　マリ　美容院　アガサ</t>
        </is>
      </c>
      <c r="C113" s="24" t="n">
        <v>231000</v>
      </c>
      <c r="D113" s="24" t="n">
        <v>231000</v>
      </c>
      <c r="E113" s="24" t="n">
        <v>231000</v>
      </c>
      <c r="F113" s="24" t="n">
        <v>231000</v>
      </c>
      <c r="G113" s="24" t="n">
        <v>231000</v>
      </c>
      <c r="H113" s="24" t="n"/>
      <c r="I113" s="10">
        <f>SUM(C113:H113)</f>
        <v/>
      </c>
      <c r="J113" s="41">
        <f>'大日産業（不動産）_上期_7-12月'!I106</f>
        <v/>
      </c>
      <c r="K113" s="42">
        <f>I113+J113</f>
        <v/>
      </c>
    </row>
    <row r="114" ht="13" customHeight="1">
      <c r="A114" s="22" t="inlineStr">
        <is>
          <t>51</t>
        </is>
      </c>
      <c r="B114" s="22" t="inlineStr">
        <is>
          <t xml:space="preserve">  ウェルピア羽島</t>
        </is>
      </c>
      <c r="C114" s="24" t="n">
        <v>360000</v>
      </c>
      <c r="D114" s="24" t="n">
        <v>360000</v>
      </c>
      <c r="E114" s="24" t="n">
        <v>360000</v>
      </c>
      <c r="F114" s="24" t="n">
        <v>360000</v>
      </c>
      <c r="G114" s="24" t="n">
        <v>360000</v>
      </c>
      <c r="H114" s="24" t="n"/>
      <c r="I114" s="10">
        <f>SUM(C114:H114)</f>
        <v/>
      </c>
      <c r="J114" s="41">
        <f>'大日産業（不動産）_上期_7-12月'!I107</f>
        <v/>
      </c>
      <c r="K114" s="42">
        <f>I114+J114</f>
        <v/>
      </c>
    </row>
    <row r="115" ht="13" customHeight="1">
      <c r="A115" s="22" t="inlineStr">
        <is>
          <t>51</t>
        </is>
      </c>
      <c r="B115" s="22" t="inlineStr">
        <is>
          <t xml:space="preserve">  センスオブリゾート　カラーガーデン</t>
        </is>
      </c>
      <c r="C115" s="24" t="n">
        <v>440000</v>
      </c>
      <c r="D115" s="24" t="n">
        <v>440000</v>
      </c>
      <c r="E115" s="24" t="n">
        <v>440000</v>
      </c>
      <c r="F115" s="24" t="n">
        <v>440000</v>
      </c>
      <c r="G115" s="24" t="n">
        <v>440000</v>
      </c>
      <c r="H115" s="24" t="n"/>
      <c r="I115" s="10">
        <f>SUM(C115:H115)</f>
        <v/>
      </c>
      <c r="J115" s="41">
        <f>'大日産業（不動産）_上期_7-12月'!I108</f>
        <v/>
      </c>
      <c r="K115" s="42">
        <f>I115+J115</f>
        <v/>
      </c>
    </row>
    <row r="116" ht="13" customHeight="1">
      <c r="A116" s="22" t="inlineStr">
        <is>
          <t>51</t>
        </is>
      </c>
      <c r="B116" s="22" t="inlineStr">
        <is>
          <t xml:space="preserve">  サーティーワン　ワイズ</t>
        </is>
      </c>
      <c r="C116" s="24" t="n">
        <v>268400</v>
      </c>
      <c r="D116" s="24" t="n">
        <v>268400</v>
      </c>
      <c r="E116" s="24" t="n">
        <v>268400</v>
      </c>
      <c r="F116" s="24" t="n">
        <v>268400</v>
      </c>
      <c r="G116" s="24" t="n">
        <v>268400</v>
      </c>
      <c r="H116" s="24" t="n"/>
      <c r="I116" s="10">
        <f>SUM(C116:H116)</f>
        <v/>
      </c>
      <c r="J116" s="41">
        <f>'大日産業（不動産）_上期_7-12月'!I109</f>
        <v/>
      </c>
      <c r="K116" s="42">
        <f>I116+J116</f>
        <v/>
      </c>
    </row>
    <row r="117" ht="13" customHeight="1">
      <c r="A117" s="22" t="inlineStr">
        <is>
          <t>52</t>
        </is>
      </c>
      <c r="B117" s="22" t="inlineStr">
        <is>
          <t xml:space="preserve">  レック　羽島漁港　赤から</t>
        </is>
      </c>
      <c r="C117" s="24" t="n">
        <v>1429450</v>
      </c>
      <c r="D117" s="24" t="n">
        <v>1429450</v>
      </c>
      <c r="E117" s="24" t="n">
        <v>1429450</v>
      </c>
      <c r="F117" s="24" t="n">
        <v>1429450</v>
      </c>
      <c r="G117" s="24" t="n">
        <v>1429450</v>
      </c>
      <c r="H117" s="24" t="n"/>
      <c r="I117" s="10">
        <f>SUM(C117:H117)</f>
        <v/>
      </c>
      <c r="J117" s="41">
        <f>'大日産業（不動産）_上期_7-12月'!I110</f>
        <v/>
      </c>
      <c r="K117" s="42">
        <f>I117+J117</f>
        <v/>
      </c>
    </row>
    <row r="118" ht="13" customHeight="1">
      <c r="A118" s="22" t="inlineStr">
        <is>
          <t>52</t>
        </is>
      </c>
      <c r="B118" s="22" t="inlineStr">
        <is>
          <t xml:space="preserve">  フアステストダイニング（ざくろ）</t>
        </is>
      </c>
      <c r="C118" s="24" t="n">
        <v>755150</v>
      </c>
      <c r="D118" s="24" t="n">
        <v>755150</v>
      </c>
      <c r="E118" s="24" t="n">
        <v>755150</v>
      </c>
      <c r="F118" s="24" t="n">
        <v>755150</v>
      </c>
      <c r="G118" s="24" t="n">
        <v>755150</v>
      </c>
      <c r="H118" s="24" t="n"/>
      <c r="I118" s="10">
        <f>SUM(C118:H118)</f>
        <v/>
      </c>
      <c r="J118" s="41">
        <f>'大日産業（不動産）_上期_7-12月'!I111</f>
        <v/>
      </c>
      <c r="K118" s="42">
        <f>I118+J118</f>
        <v/>
      </c>
    </row>
    <row r="119" ht="13" customHeight="1">
      <c r="A119" s="22" t="inlineStr">
        <is>
          <t>52</t>
        </is>
      </c>
      <c r="B119" s="22" t="inlineStr">
        <is>
          <t xml:space="preserve">  海帆　　新時代　　BABY　FACE</t>
        </is>
      </c>
      <c r="C119" s="24" t="n">
        <v>1592800</v>
      </c>
      <c r="D119" s="24" t="n">
        <v>1592800</v>
      </c>
      <c r="E119" s="24" t="n">
        <v>1592800</v>
      </c>
      <c r="F119" s="24" t="n">
        <v>1592800</v>
      </c>
      <c r="G119" s="24" t="n">
        <v>1592800</v>
      </c>
      <c r="H119" s="24" t="n"/>
      <c r="I119" s="10">
        <f>SUM(C119:H119)</f>
        <v/>
      </c>
      <c r="J119" s="41">
        <f>'大日産業（不動産）_上期_7-12月'!I118</f>
        <v/>
      </c>
      <c r="K119" s="42">
        <f>I119+J119</f>
        <v/>
      </c>
    </row>
    <row r="120" ht="13" customHeight="1">
      <c r="A120" s="22" t="inlineStr">
        <is>
          <t>52</t>
        </is>
      </c>
      <c r="B120" s="22" t="inlineStr">
        <is>
          <t xml:space="preserve">  太陽食品</t>
        </is>
      </c>
      <c r="C120" s="24" t="n">
        <v>324500</v>
      </c>
      <c r="D120" s="24" t="n">
        <v>324500</v>
      </c>
      <c r="E120" s="24" t="n">
        <v>324500</v>
      </c>
      <c r="F120" s="24" t="n">
        <v>324500</v>
      </c>
      <c r="G120" s="24" t="n">
        <v>324500</v>
      </c>
      <c r="H120" s="24" t="n"/>
      <c r="I120" s="10">
        <f>SUM(C120:H120)</f>
        <v/>
      </c>
      <c r="J120" s="41">
        <f>'大日産業（不動産）_上期_7-12月'!I113</f>
        <v/>
      </c>
      <c r="K120" s="42">
        <f>I120+J120</f>
        <v/>
      </c>
    </row>
    <row r="121" ht="13" customHeight="1">
      <c r="A121" s="22" t="inlineStr">
        <is>
          <t>52</t>
        </is>
      </c>
      <c r="B121" s="22" t="inlineStr">
        <is>
          <t xml:space="preserve">  JーProach</t>
        </is>
      </c>
      <c r="C121" s="24" t="n">
        <v>323400</v>
      </c>
      <c r="D121" s="24" t="n">
        <v>323400</v>
      </c>
      <c r="E121" s="24" t="n">
        <v>323400</v>
      </c>
      <c r="F121" s="24" t="n">
        <v>323400</v>
      </c>
      <c r="G121" s="24" t="n">
        <v>323400</v>
      </c>
      <c r="H121" s="24" t="n"/>
      <c r="I121" s="10">
        <f>SUM(C121:H121)</f>
        <v/>
      </c>
      <c r="J121" s="41">
        <f>'大日産業（不動産）_上期_7-12月'!I114</f>
        <v/>
      </c>
      <c r="K121" s="42">
        <f>I121+J121</f>
        <v/>
      </c>
    </row>
    <row r="122" ht="13" customHeight="1">
      <c r="A122" s="22" t="inlineStr">
        <is>
          <t>47</t>
        </is>
      </c>
      <c r="B122" s="22" t="inlineStr">
        <is>
          <t xml:space="preserve">  BLOCK47　2F　（ウェルピア）</t>
        </is>
      </c>
      <c r="C122" s="24" t="n">
        <v>660000</v>
      </c>
      <c r="D122" s="24" t="n">
        <v>660000</v>
      </c>
      <c r="E122" s="24" t="n">
        <v>660000</v>
      </c>
      <c r="F122" s="24" t="n">
        <v>660000</v>
      </c>
      <c r="G122" s="24" t="n">
        <v>660000</v>
      </c>
      <c r="H122" s="24" t="n"/>
      <c r="I122" s="10">
        <f>SUM(C122:H122)</f>
        <v/>
      </c>
      <c r="J122" s="41">
        <f>'大日産業（不動産）_上期_7-12月'!I115</f>
        <v/>
      </c>
      <c r="K122" s="42">
        <f>I122+J122</f>
        <v/>
      </c>
    </row>
    <row r="123" ht="13" customHeight="1">
      <c r="A123" s="22" t="inlineStr">
        <is>
          <t>48</t>
        </is>
      </c>
      <c r="B123" s="22" t="inlineStr">
        <is>
          <t xml:space="preserve">  その他（マルチブル）</t>
        </is>
      </c>
      <c r="C123" s="24" t="n">
        <v>66000</v>
      </c>
      <c r="D123" s="24" t="n">
        <v>66000</v>
      </c>
      <c r="E123" s="24" t="n">
        <v>66000</v>
      </c>
      <c r="F123" s="24" t="n">
        <v>66000</v>
      </c>
      <c r="G123" s="24" t="n">
        <v>66000</v>
      </c>
      <c r="H123" s="24" t="n"/>
      <c r="I123" s="10">
        <f>SUM(C123:H123)</f>
        <v/>
      </c>
      <c r="J123" s="41">
        <f>'大日産業（不動産）_上期_7-12月'!I116</f>
        <v/>
      </c>
      <c r="K123" s="42">
        <f>I123+J123</f>
        <v/>
      </c>
    </row>
    <row r="124" ht="13" customHeight="1">
      <c r="A124" s="22" t="inlineStr">
        <is>
          <t>48</t>
        </is>
      </c>
      <c r="B124" s="22" t="inlineStr">
        <is>
          <t xml:space="preserve">  その他（出光リテール）</t>
        </is>
      </c>
      <c r="C124" s="24" t="n">
        <v>46200</v>
      </c>
      <c r="D124" s="24" t="n">
        <v>46200</v>
      </c>
      <c r="E124" s="24" t="n">
        <v>46200</v>
      </c>
      <c r="F124" s="24" t="n">
        <v>46200</v>
      </c>
      <c r="G124" s="24" t="n">
        <v>46200</v>
      </c>
      <c r="H124" s="24" t="n"/>
      <c r="I124" s="10">
        <f>SUM(C124:H124)</f>
        <v/>
      </c>
      <c r="J124" s="41">
        <f>'大日産業（不動産）_上期_7-12月'!I117</f>
        <v/>
      </c>
      <c r="K124" s="42">
        <f>I124+J124</f>
        <v/>
      </c>
    </row>
    <row r="125" ht="13" customHeight="1">
      <c r="A125" s="22" t="inlineStr">
        <is>
          <t>48</t>
        </is>
      </c>
      <c r="B125" s="22" t="inlineStr">
        <is>
          <t xml:space="preserve">  その他（軽自動車協会）</t>
        </is>
      </c>
      <c r="C125" s="23" t="n">
        <v>264000</v>
      </c>
      <c r="D125" s="23" t="n"/>
      <c r="E125" s="23" t="n"/>
      <c r="F125" s="23" t="n"/>
      <c r="G125" s="23" t="n"/>
      <c r="H125" s="23" t="n"/>
      <c r="I125" s="10">
        <f>SUM(C125:H125)</f>
        <v/>
      </c>
      <c r="J125" s="41" t="n"/>
      <c r="K125" s="42">
        <f>I125+J125</f>
        <v/>
      </c>
    </row>
    <row r="126" ht="13" customHeight="1">
      <c r="A126" s="22" t="inlineStr">
        <is>
          <t>46</t>
        </is>
      </c>
      <c r="B126" s="22" t="inlineStr">
        <is>
          <t xml:space="preserve">  アルファコンサルティング（保険）347050</t>
        </is>
      </c>
      <c r="C126" s="23" t="n">
        <v>368289</v>
      </c>
      <c r="D126" s="23" t="n">
        <v>377678</v>
      </c>
      <c r="E126" s="23" t="n">
        <v>369271</v>
      </c>
      <c r="F126" s="23" t="n"/>
      <c r="G126" s="23" t="n"/>
      <c r="H126" s="23" t="n"/>
      <c r="I126" s="10">
        <f>SUM(C126:H126)</f>
        <v/>
      </c>
      <c r="J126" s="41">
        <f>'大日産業（不動産）_上期_7-12月'!I102</f>
        <v/>
      </c>
      <c r="K126" s="42">
        <f>I126+J126</f>
        <v/>
      </c>
    </row>
    <row r="127" ht="13" customHeight="1">
      <c r="A127" s="22" t="inlineStr">
        <is>
          <t>52</t>
        </is>
      </c>
      <c r="B127" s="22" t="inlineStr">
        <is>
          <t xml:space="preserve">  鳥貴族　49.5万　3，96万</t>
        </is>
      </c>
      <c r="C127" s="24" t="n">
        <v>534600</v>
      </c>
      <c r="D127" s="24" t="n">
        <v>534600</v>
      </c>
      <c r="E127" s="24" t="n">
        <v>534600</v>
      </c>
      <c r="F127" s="24" t="n"/>
      <c r="G127" s="24" t="n"/>
      <c r="H127" s="24" t="n"/>
      <c r="I127" s="10">
        <f>SUM(C127:H127)</f>
        <v/>
      </c>
      <c r="J127" s="41" t="n"/>
      <c r="K127" s="42">
        <f>I127+J127</f>
        <v/>
      </c>
    </row>
    <row r="128" ht="13" customHeight="1">
      <c r="A128" s="22" t="inlineStr">
        <is>
          <t>52</t>
        </is>
      </c>
      <c r="B128" s="22" t="inlineStr">
        <is>
          <t xml:space="preserve">  鳥貴族　44,55万　3，96万</t>
        </is>
      </c>
      <c r="C128" s="24" t="n"/>
      <c r="D128" s="24" t="n"/>
      <c r="E128" s="24" t="n"/>
      <c r="F128" s="24" t="n">
        <v>485100</v>
      </c>
      <c r="G128" s="24" t="n">
        <v>485100</v>
      </c>
      <c r="H128" s="24" t="n"/>
      <c r="I128" s="10">
        <f>SUM(C128:H128)</f>
        <v/>
      </c>
      <c r="J128" s="41">
        <f>'大日産業（不動産）_上期_7-12月'!I112</f>
        <v/>
      </c>
      <c r="K128" s="42">
        <f>I128+J128</f>
        <v/>
      </c>
    </row>
    <row r="129" ht="13" customHeight="1">
      <c r="A129" s="22" t="inlineStr">
        <is>
          <t>52</t>
        </is>
      </c>
      <c r="B129" s="22" t="inlineStr">
        <is>
          <t xml:space="preserve">  サワフジケンジ</t>
        </is>
      </c>
      <c r="C129" s="24" t="n">
        <v>292600</v>
      </c>
      <c r="D129" s="24" t="n"/>
      <c r="E129" s="24" t="n"/>
      <c r="F129" s="24" t="n">
        <v>292600</v>
      </c>
      <c r="G129" s="24" t="n">
        <v>292600</v>
      </c>
      <c r="H129" s="24" t="n"/>
      <c r="I129" s="10">
        <f>SUM(C129:H129)</f>
        <v/>
      </c>
      <c r="J129" s="41">
        <f>'大日産業（不動産）_上期_7-12月'!I119</f>
        <v/>
      </c>
      <c r="K129" s="42">
        <f>I129+J129</f>
        <v/>
      </c>
    </row>
    <row r="130" ht="13" customHeight="1">
      <c r="A130" s="22" t="inlineStr">
        <is>
          <t>48</t>
        </is>
      </c>
      <c r="B130" s="22" t="inlineStr">
        <is>
          <t xml:space="preserve">  アキツバ　駐車場</t>
        </is>
      </c>
      <c r="C130" s="23" t="n">
        <v>16668</v>
      </c>
      <c r="D130" s="23" t="n">
        <v>12964</v>
      </c>
      <c r="E130" s="23" t="n">
        <v>19446</v>
      </c>
      <c r="F130" s="23" t="n"/>
      <c r="G130" s="23" t="n"/>
      <c r="H130" s="23" t="n"/>
      <c r="I130" s="10">
        <f>SUM(C130:H130)</f>
        <v/>
      </c>
      <c r="J130" s="41" t="n"/>
      <c r="K130" s="42">
        <f>I130+J130</f>
        <v/>
      </c>
    </row>
    <row r="131" ht="13" customHeight="1">
      <c r="A131" s="22" t="inlineStr">
        <is>
          <t>52</t>
        </is>
      </c>
      <c r="B131" s="22" t="inlineStr">
        <is>
          <t xml:space="preserve">  万億（麻辣湯）</t>
        </is>
      </c>
      <c r="C131" s="23" t="n"/>
      <c r="D131" s="23" t="n">
        <v>408100</v>
      </c>
      <c r="E131" s="23" t="n"/>
      <c r="F131" s="23" t="n">
        <v>332200</v>
      </c>
      <c r="G131" s="23" t="n">
        <v>332200</v>
      </c>
      <c r="H131" s="23" t="n"/>
      <c r="I131" s="10">
        <f>SUM(C131:H131)</f>
        <v/>
      </c>
      <c r="J131" s="41" t="n"/>
      <c r="K131" s="42">
        <f>I131+J131</f>
        <v/>
      </c>
    </row>
    <row r="132" ht="13" customHeight="1">
      <c r="A132" s="22" t="inlineStr">
        <is>
          <t>52</t>
        </is>
      </c>
      <c r="B132" s="22" t="inlineStr">
        <is>
          <t xml:space="preserve">  万億（麻辣湯） ヒラシタツヤコ</t>
        </is>
      </c>
      <c r="C132" s="23" t="n"/>
      <c r="D132" s="23" t="n"/>
      <c r="E132" s="23" t="n">
        <v>332200</v>
      </c>
      <c r="F132" s="23" t="n"/>
      <c r="G132" s="23" t="n"/>
      <c r="H132" s="23" t="n"/>
      <c r="I132" s="10">
        <f>SUM(C132:H132)</f>
        <v/>
      </c>
      <c r="J132" s="41" t="n"/>
      <c r="K132" s="42">
        <f>I132+J132</f>
        <v/>
      </c>
    </row>
    <row r="133" ht="13" customHeight="1">
      <c r="A133" s="22" t="inlineStr">
        <is>
          <t>51</t>
        </is>
      </c>
      <c r="B133" s="22" t="inlineStr">
        <is>
          <t xml:space="preserve">  アサイボール</t>
        </is>
      </c>
      <c r="C133" s="24" t="n"/>
      <c r="D133" s="24" t="n"/>
      <c r="E133" s="24" t="n">
        <v>30360</v>
      </c>
      <c r="F133" s="24" t="n">
        <v>30360</v>
      </c>
      <c r="G133" s="24" t="n">
        <v>30360</v>
      </c>
      <c r="H133" s="24" t="n"/>
      <c r="I133" s="10">
        <f>SUM(C133:H133)</f>
        <v/>
      </c>
      <c r="J133" s="41" t="n"/>
      <c r="K133" s="42">
        <f>I133+J133</f>
        <v/>
      </c>
    </row>
    <row r="134" ht="13" customHeight="1">
      <c r="A134" s="22" t="inlineStr">
        <is>
          <t>52</t>
        </is>
      </c>
      <c r="B134" s="22" t="inlineStr">
        <is>
          <t xml:space="preserve">  麻辣湯</t>
        </is>
      </c>
      <c r="C134" s="23" t="n">
        <v>233200</v>
      </c>
      <c r="D134" s="23" t="n"/>
      <c r="E134" s="23" t="n"/>
      <c r="F134" s="23" t="n"/>
      <c r="G134" s="23" t="n"/>
      <c r="H134" s="23" t="n"/>
      <c r="I134" s="10">
        <f>SUM(C134:H134)</f>
        <v/>
      </c>
      <c r="J134" s="41" t="n"/>
      <c r="K134" s="42">
        <f>I134+J134</f>
        <v/>
      </c>
    </row>
    <row r="135" ht="12" customHeight="1">
      <c r="A135" s="25" t="n"/>
      <c r="B135" s="25" t="n"/>
      <c r="C135" s="26" t="n"/>
      <c r="D135" s="26" t="n"/>
      <c r="E135" s="26" t="n"/>
      <c r="F135" s="26" t="n"/>
      <c r="G135" s="26" t="n"/>
      <c r="H135" s="26" t="n"/>
      <c r="I135" s="13" t="n"/>
      <c r="J135" s="43" t="n"/>
      <c r="K135" s="44" t="n"/>
    </row>
    <row r="136" ht="14" customHeight="1">
      <c r="A136" s="19" t="n"/>
      <c r="B136" s="20" t="inlineStr">
        <is>
          <t>▶ その他収入</t>
        </is>
      </c>
      <c r="C136" s="21">
        <f>SUM(C137:C142)</f>
        <v/>
      </c>
      <c r="D136" s="21">
        <f>SUM(D137:D142)</f>
        <v/>
      </c>
      <c r="E136" s="21">
        <f>SUM(E137:E142)</f>
        <v/>
      </c>
      <c r="F136" s="21">
        <f>SUM(F137:F142)</f>
        <v/>
      </c>
      <c r="G136" s="21">
        <f>SUM(G137:G142)</f>
        <v/>
      </c>
      <c r="H136" s="21">
        <f>SUM(H137:H142)</f>
        <v/>
      </c>
      <c r="I136" s="7">
        <f>SUM(I137:I142)</f>
        <v/>
      </c>
      <c r="J136" s="39">
        <f>SUM(J137:J142)</f>
        <v/>
      </c>
      <c r="K136" s="40">
        <f>SUM(K137:K142)</f>
        <v/>
      </c>
    </row>
    <row r="137" ht="13" customHeight="1">
      <c r="A137" s="22" t="inlineStr"/>
      <c r="B137" s="22" t="inlineStr">
        <is>
          <t xml:space="preserve">  桑名セブンイレブン家賃収入</t>
        </is>
      </c>
      <c r="C137" s="24" t="n">
        <v>313550</v>
      </c>
      <c r="D137" s="24" t="n">
        <v>313550</v>
      </c>
      <c r="E137" s="24" t="n">
        <v>313550</v>
      </c>
      <c r="F137" s="24" t="n">
        <v>313550</v>
      </c>
      <c r="G137" s="24" t="n">
        <v>313550</v>
      </c>
      <c r="H137" s="24" t="n"/>
      <c r="I137" s="10">
        <f>SUM(C137:H137)</f>
        <v/>
      </c>
      <c r="J137" s="41">
        <f>'大日産業（不動産）_上期_7-12月'!I124</f>
        <v/>
      </c>
      <c r="K137" s="42">
        <f>I137+J137</f>
        <v/>
      </c>
    </row>
    <row r="138" ht="13" customHeight="1">
      <c r="A138" s="22" t="inlineStr"/>
      <c r="B138" s="22" t="inlineStr">
        <is>
          <t xml:space="preserve">  ライフ&amp;サポート　撤退後補填金R8.5迄</t>
        </is>
      </c>
      <c r="C138" s="24" t="n">
        <v>75330</v>
      </c>
      <c r="D138" s="24" t="n">
        <v>75330</v>
      </c>
      <c r="E138" s="24" t="n">
        <v>75330</v>
      </c>
      <c r="F138" s="24" t="n">
        <v>75330</v>
      </c>
      <c r="G138" s="24" t="n">
        <v>75330</v>
      </c>
      <c r="H138" s="24" t="n"/>
      <c r="I138" s="10">
        <f>SUM(C138:H138)</f>
        <v/>
      </c>
      <c r="J138" s="41">
        <f>'大日産業（不動産）_上期_7-12月'!I125</f>
        <v/>
      </c>
      <c r="K138" s="42">
        <f>I138+J138</f>
        <v/>
      </c>
    </row>
    <row r="139" ht="13" customHeight="1">
      <c r="A139" s="22" t="inlineStr"/>
      <c r="B139" s="22" t="inlineStr">
        <is>
          <t xml:space="preserve">  チーザー　撤退後補填金R9.12迄</t>
        </is>
      </c>
      <c r="C139" s="23" t="n"/>
      <c r="D139" s="23" t="n">
        <v>71115</v>
      </c>
      <c r="E139" s="23" t="n">
        <v>69900</v>
      </c>
      <c r="F139" s="23" t="n">
        <v>69900</v>
      </c>
      <c r="G139" s="23" t="n">
        <v>69900</v>
      </c>
      <c r="H139" s="23" t="n"/>
      <c r="I139" s="10">
        <f>SUM(C139:H139)</f>
        <v/>
      </c>
      <c r="J139" s="41" t="n"/>
      <c r="K139" s="42">
        <f>I139+J139</f>
        <v/>
      </c>
    </row>
    <row r="140" ht="13" customHeight="1">
      <c r="A140" s="22" t="inlineStr"/>
      <c r="B140" s="22" t="inlineStr">
        <is>
          <t xml:space="preserve">  その他（つだ　まこと）</t>
        </is>
      </c>
      <c r="C140" s="23" t="n">
        <v>300000</v>
      </c>
      <c r="D140" s="23" t="n"/>
      <c r="E140" s="23" t="n"/>
      <c r="F140" s="23" t="n"/>
      <c r="G140" s="23" t="n"/>
      <c r="H140" s="23" t="n"/>
      <c r="I140" s="10">
        <f>SUM(C140:H140)</f>
        <v/>
      </c>
      <c r="J140" s="41" t="n"/>
      <c r="K140" s="42">
        <f>I140+J140</f>
        <v/>
      </c>
    </row>
    <row r="141" ht="13" customHeight="1">
      <c r="A141" s="22" t="inlineStr"/>
      <c r="B141" s="22" t="inlineStr">
        <is>
          <t xml:space="preserve">  その他（ソフトバンク）</t>
        </is>
      </c>
      <c r="C141" s="23" t="n"/>
      <c r="D141" s="23" t="n"/>
      <c r="E141" s="23" t="n">
        <v>120000</v>
      </c>
      <c r="F141" s="23" t="n"/>
      <c r="G141" s="23" t="n"/>
      <c r="H141" s="23" t="n"/>
      <c r="I141" s="10">
        <f>SUM(C141:H141)</f>
        <v/>
      </c>
      <c r="J141" s="41" t="n"/>
      <c r="K141" s="42">
        <f>I141+J141</f>
        <v/>
      </c>
    </row>
    <row r="142" ht="12" customHeight="1">
      <c r="A142" s="25" t="n"/>
      <c r="B142" s="25" t="n"/>
      <c r="C142" s="26" t="n"/>
      <c r="D142" s="26" t="n"/>
      <c r="E142" s="26" t="n"/>
      <c r="F142" s="26" t="n"/>
      <c r="G142" s="26" t="n"/>
      <c r="H142" s="26" t="n"/>
      <c r="I142" s="13" t="n"/>
      <c r="J142" s="43" t="n"/>
      <c r="K142" s="44" t="n"/>
    </row>
    <row r="143" ht="15" customHeight="1">
      <c r="A143" s="27" t="n"/>
      <c r="B143" s="28" t="inlineStr">
        <is>
          <t>② 収入合計</t>
        </is>
      </c>
      <c r="C143" s="29">
        <f>C109+C136</f>
        <v/>
      </c>
      <c r="D143" s="29">
        <f>D109+D136</f>
        <v/>
      </c>
      <c r="E143" s="29">
        <f>E109+E136</f>
        <v/>
      </c>
      <c r="F143" s="29">
        <f>F109+F136</f>
        <v/>
      </c>
      <c r="G143" s="29">
        <f>G109+G136</f>
        <v/>
      </c>
      <c r="H143" s="29">
        <f>H109+H136</f>
        <v/>
      </c>
      <c r="I143" s="7">
        <f>I109+I136</f>
        <v/>
      </c>
      <c r="J143" s="39">
        <f>J109+J136</f>
        <v/>
      </c>
      <c r="K143" s="40">
        <f>K109+K136</f>
        <v/>
      </c>
    </row>
    <row r="145" ht="22" customHeight="1">
      <c r="A145" s="30" t="n"/>
      <c r="B145" s="31" t="inlineStr">
        <is>
          <t>① 経　費</t>
        </is>
      </c>
      <c r="C145" s="32">
        <f>C106</f>
        <v/>
      </c>
      <c r="D145" s="32">
        <f>D106</f>
        <v/>
      </c>
      <c r="E145" s="32">
        <f>E106</f>
        <v/>
      </c>
      <c r="F145" s="32">
        <f>F106</f>
        <v/>
      </c>
      <c r="G145" s="32">
        <f>G106</f>
        <v/>
      </c>
      <c r="H145" s="32">
        <f>H106</f>
        <v/>
      </c>
      <c r="I145" s="32">
        <f>I106</f>
        <v/>
      </c>
      <c r="J145" s="32">
        <f>J106</f>
        <v/>
      </c>
      <c r="K145" s="32">
        <f>K106</f>
        <v/>
      </c>
    </row>
    <row r="146" ht="22" customHeight="1">
      <c r="A146" s="33" t="n"/>
      <c r="B146" s="34" t="inlineStr">
        <is>
          <t>② 収　入</t>
        </is>
      </c>
      <c r="C146" s="35">
        <f>C143</f>
        <v/>
      </c>
      <c r="D146" s="35">
        <f>D143</f>
        <v/>
      </c>
      <c r="E146" s="35">
        <f>E143</f>
        <v/>
      </c>
      <c r="F146" s="35">
        <f>F143</f>
        <v/>
      </c>
      <c r="G146" s="35">
        <f>G143</f>
        <v/>
      </c>
      <c r="H146" s="35">
        <f>H143</f>
        <v/>
      </c>
      <c r="I146" s="35">
        <f>I143</f>
        <v/>
      </c>
      <c r="J146" s="35">
        <f>J143</f>
        <v/>
      </c>
      <c r="K146" s="35">
        <f>K143</f>
        <v/>
      </c>
    </row>
    <row r="147" ht="22" customHeight="1">
      <c r="A147" s="36" t="n"/>
      <c r="B147" s="37" t="inlineStr">
        <is>
          <t>③ 収　支  ②－①</t>
        </is>
      </c>
      <c r="C147" s="38">
        <f>C143-C106</f>
        <v/>
      </c>
      <c r="D147" s="38">
        <f>D143-D106</f>
        <v/>
      </c>
      <c r="E147" s="38">
        <f>E143-E106</f>
        <v/>
      </c>
      <c r="F147" s="38">
        <f>F143-F106</f>
        <v/>
      </c>
      <c r="G147" s="38">
        <f>G143-G106</f>
        <v/>
      </c>
      <c r="H147" s="38">
        <f>H143-H106</f>
        <v/>
      </c>
      <c r="I147" s="38">
        <f>I143-I106</f>
        <v/>
      </c>
      <c r="J147" s="38">
        <f>J143-J106</f>
        <v/>
      </c>
      <c r="K147" s="38">
        <f>K143-K106</f>
        <v/>
      </c>
    </row>
  </sheetData>
  <mergeCells count="3">
    <mergeCell ref="A1:K1"/>
    <mergeCell ref="A108:K108"/>
    <mergeCell ref="A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I88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⑥ Eats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給与・法定福利・福利</t>
        </is>
      </c>
      <c r="C4" s="6">
        <f>SUM(C5:C13)</f>
        <v/>
      </c>
      <c r="D4" s="6">
        <f>SUM(D5:D13)</f>
        <v/>
      </c>
      <c r="E4" s="6">
        <f>SUM(E5:E13)</f>
        <v/>
      </c>
      <c r="F4" s="6">
        <f>SUM(F5:F13)</f>
        <v/>
      </c>
      <c r="G4" s="6">
        <f>SUM(G5:G13)</f>
        <v/>
      </c>
      <c r="H4" s="6">
        <f>SUM(H5:H13)</f>
        <v/>
      </c>
      <c r="I4" s="7">
        <f>SUM(I5:I13)</f>
        <v/>
      </c>
    </row>
    <row r="5" ht="13" customHeight="1">
      <c r="A5" s="8" t="inlineStr">
        <is>
          <t>20</t>
        </is>
      </c>
      <c r="B5" s="8" t="inlineStr">
        <is>
          <t xml:space="preserve">  給与支給　社員</t>
        </is>
      </c>
      <c r="C5" s="9" t="n">
        <v>882833</v>
      </c>
      <c r="D5" s="9" t="n">
        <v>889119</v>
      </c>
      <c r="E5" s="9" t="n">
        <v>918610</v>
      </c>
      <c r="F5" s="9" t="n">
        <v>595145</v>
      </c>
      <c r="G5" s="9" t="n">
        <v>167615</v>
      </c>
      <c r="H5" s="9" t="n"/>
      <c r="I5" s="10">
        <f>SUM(C5:H5)</f>
        <v/>
      </c>
    </row>
    <row r="6" ht="13" customHeight="1">
      <c r="A6" s="8" t="inlineStr">
        <is>
          <t>20</t>
        </is>
      </c>
      <c r="B6" s="8" t="inlineStr">
        <is>
          <t xml:space="preserve">  給与支給　PA</t>
        </is>
      </c>
      <c r="C6" s="9" t="n">
        <v>423046</v>
      </c>
      <c r="D6" s="9" t="n">
        <v>457105</v>
      </c>
      <c r="E6" s="9" t="n">
        <v>490574</v>
      </c>
      <c r="F6" s="9" t="n">
        <v>243950</v>
      </c>
      <c r="G6" s="9" t="n"/>
      <c r="H6" s="9" t="n"/>
      <c r="I6" s="10">
        <f>SUM(C6:H6)</f>
        <v/>
      </c>
    </row>
    <row r="7" ht="13" customHeight="1">
      <c r="A7" s="8" t="inlineStr">
        <is>
          <t>20</t>
        </is>
      </c>
      <c r="B7" s="8" t="inlineStr">
        <is>
          <t xml:space="preserve">  社会保険　社員　会社負担</t>
        </is>
      </c>
      <c r="C7" s="9" t="n">
        <v>126244</v>
      </c>
      <c r="D7" s="9" t="n">
        <v>126279</v>
      </c>
      <c r="E7" s="9" t="n">
        <v>126578</v>
      </c>
      <c r="F7" s="9" t="n">
        <v>42795</v>
      </c>
      <c r="G7" s="9" t="n"/>
      <c r="H7" s="9" t="n"/>
      <c r="I7" s="10">
        <f>SUM(C7:H7)</f>
        <v/>
      </c>
    </row>
    <row r="8" ht="13" customHeight="1">
      <c r="A8" s="8" t="inlineStr">
        <is>
          <t>20</t>
        </is>
      </c>
      <c r="B8" s="8" t="inlineStr">
        <is>
          <t xml:space="preserve">  社会保険　PA　会社負担</t>
        </is>
      </c>
      <c r="C8" s="9" t="n">
        <v>29291</v>
      </c>
      <c r="D8" s="9" t="n">
        <v>29343</v>
      </c>
      <c r="E8" s="9" t="n">
        <v>29518</v>
      </c>
      <c r="F8" s="9" t="n"/>
      <c r="G8" s="9" t="n"/>
      <c r="H8" s="9" t="n"/>
      <c r="I8" s="10">
        <f>SUM(C8:H8)</f>
        <v/>
      </c>
    </row>
    <row r="9" ht="13" customHeight="1">
      <c r="A9" s="8" t="inlineStr">
        <is>
          <t>末</t>
        </is>
      </c>
      <c r="B9" s="8" t="inlineStr">
        <is>
          <t xml:space="preserve">  業務委託費</t>
        </is>
      </c>
      <c r="C9" s="9" t="n"/>
      <c r="D9" s="9" t="n"/>
      <c r="E9" s="9" t="n">
        <v>577233</v>
      </c>
      <c r="F9" s="9" t="n">
        <v>1112486</v>
      </c>
      <c r="G9" s="9" t="n">
        <v>1059267</v>
      </c>
      <c r="H9" s="9" t="n">
        <v>272917</v>
      </c>
      <c r="I9" s="10">
        <f>SUM(C9:H9)</f>
        <v/>
      </c>
    </row>
    <row r="10" ht="13" customHeight="1">
      <c r="A10" s="8" t="inlineStr">
        <is>
          <t>末</t>
        </is>
      </c>
      <c r="B10" s="8" t="inlineStr">
        <is>
          <t xml:space="preserve">  業務委託費</t>
        </is>
      </c>
      <c r="C10" s="9" t="n"/>
      <c r="D10" s="9" t="n"/>
      <c r="E10" s="9" t="n"/>
      <c r="F10" s="9" t="n">
        <v>1179831</v>
      </c>
      <c r="G10" s="9" t="n">
        <v>454870</v>
      </c>
      <c r="H10" s="9" t="n">
        <v>1194939</v>
      </c>
      <c r="I10" s="10">
        <f>SUM(C10:H10)</f>
        <v/>
      </c>
    </row>
    <row r="11" ht="13" customHeight="1">
      <c r="A11" s="8" t="inlineStr">
        <is>
          <t>末</t>
        </is>
      </c>
      <c r="B11" s="8" t="inlineStr">
        <is>
          <t xml:space="preserve">  杉山氏　交通費（1/3）</t>
        </is>
      </c>
      <c r="C11" s="9" t="n">
        <v>33158</v>
      </c>
      <c r="D11" s="9" t="n"/>
      <c r="E11" s="9" t="n"/>
      <c r="F11" s="9" t="n">
        <v>79580</v>
      </c>
      <c r="G11" s="9" t="n"/>
      <c r="H11" s="9" t="n">
        <v>107252</v>
      </c>
      <c r="I11" s="10">
        <f>SUM(C11:H11)</f>
        <v/>
      </c>
    </row>
    <row r="12" ht="13" customHeight="1">
      <c r="A12" s="8" t="inlineStr">
        <is>
          <t>20</t>
        </is>
      </c>
      <c r="B12" s="8" t="inlineStr">
        <is>
          <t xml:space="preserve">  家田氏　業務委託費</t>
        </is>
      </c>
      <c r="C12" s="9" t="n">
        <v>100000</v>
      </c>
      <c r="D12" s="9" t="n"/>
      <c r="E12" s="9" t="n"/>
      <c r="F12" s="9" t="n"/>
      <c r="G12" s="9" t="n"/>
      <c r="H12" s="9" t="n"/>
      <c r="I12" s="10">
        <f>SUM(C12:H12)</f>
        <v/>
      </c>
    </row>
    <row r="13" ht="1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3" t="n"/>
    </row>
    <row r="14" ht="14" customHeight="1">
      <c r="A14" s="4" t="n"/>
      <c r="B14" s="5" t="inlineStr">
        <is>
          <t>▶ 光熱費</t>
        </is>
      </c>
      <c r="C14" s="6">
        <f>SUM(C15:C19)</f>
        <v/>
      </c>
      <c r="D14" s="6">
        <f>SUM(D15:D19)</f>
        <v/>
      </c>
      <c r="E14" s="6">
        <f>SUM(E15:E19)</f>
        <v/>
      </c>
      <c r="F14" s="6">
        <f>SUM(F15:F19)</f>
        <v/>
      </c>
      <c r="G14" s="6">
        <f>SUM(G15:G19)</f>
        <v/>
      </c>
      <c r="H14" s="6">
        <f>SUM(H15:H19)</f>
        <v/>
      </c>
      <c r="I14" s="7">
        <f>SUM(I15:I19)</f>
        <v/>
      </c>
    </row>
    <row r="15" ht="13" customHeight="1">
      <c r="A15" s="8" t="inlineStr"/>
      <c r="B15" s="8" t="inlineStr">
        <is>
          <t xml:space="preserve">  電気</t>
        </is>
      </c>
      <c r="C15" s="9" t="n">
        <v>158731</v>
      </c>
      <c r="D15" s="9" t="n">
        <v>175165</v>
      </c>
      <c r="E15" s="9" t="n">
        <v>172146</v>
      </c>
      <c r="F15" s="9" t="n">
        <v>134202</v>
      </c>
      <c r="G15" s="9" t="n">
        <v>138528</v>
      </c>
      <c r="H15" s="9" t="n">
        <v>130500</v>
      </c>
      <c r="I15" s="10">
        <f>SUM(C15:H15)</f>
        <v/>
      </c>
    </row>
    <row r="16" ht="13" customHeight="1">
      <c r="A16" s="8" t="inlineStr"/>
      <c r="B16" s="8" t="inlineStr">
        <is>
          <t xml:space="preserve">  ガス　空調</t>
        </is>
      </c>
      <c r="C16" s="9" t="n">
        <v>24153</v>
      </c>
      <c r="D16" s="9" t="n">
        <v>106930</v>
      </c>
      <c r="E16" s="9" t="n">
        <v>152434</v>
      </c>
      <c r="F16" s="9" t="n">
        <v>122679</v>
      </c>
      <c r="G16" s="9" t="n">
        <v>46121</v>
      </c>
      <c r="H16" s="9" t="n">
        <v>18171</v>
      </c>
      <c r="I16" s="10">
        <f>SUM(C16:H16)</f>
        <v/>
      </c>
    </row>
    <row r="17" ht="13" customHeight="1">
      <c r="A17" s="8" t="inlineStr"/>
      <c r="B17" s="8" t="inlineStr">
        <is>
          <t xml:space="preserve">  ガス　厨房</t>
        </is>
      </c>
      <c r="C17" s="9" t="n">
        <v>29745</v>
      </c>
      <c r="D17" s="9" t="n">
        <v>28422</v>
      </c>
      <c r="E17" s="9" t="n">
        <v>34553</v>
      </c>
      <c r="F17" s="9" t="n">
        <v>27954</v>
      </c>
      <c r="G17" s="9" t="n">
        <v>19089</v>
      </c>
      <c r="H17" s="9" t="n">
        <v>24514</v>
      </c>
      <c r="I17" s="10">
        <f>SUM(C17:H17)</f>
        <v/>
      </c>
    </row>
    <row r="18" ht="13" customHeight="1">
      <c r="A18" s="8" t="inlineStr"/>
      <c r="B18" s="8" t="inlineStr">
        <is>
          <t xml:space="preserve">  水道</t>
        </is>
      </c>
      <c r="C18" s="9" t="n"/>
      <c r="D18" s="9" t="n"/>
      <c r="E18" s="9" t="n">
        <v>34540</v>
      </c>
      <c r="F18" s="9" t="n">
        <v>34540</v>
      </c>
      <c r="G18" s="9" t="n">
        <v>23892</v>
      </c>
      <c r="H18" s="9" t="n"/>
      <c r="I18" s="10">
        <f>SUM(C18:H18)</f>
        <v/>
      </c>
    </row>
    <row r="19" ht="1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3" t="n"/>
    </row>
    <row r="20" ht="14" customHeight="1">
      <c r="A20" s="4" t="n"/>
      <c r="B20" s="5" t="inlineStr">
        <is>
          <t>▶ 銀行返済</t>
        </is>
      </c>
      <c r="C20" s="6">
        <f>SUM(C21:C24)</f>
        <v/>
      </c>
      <c r="D20" s="6">
        <f>SUM(D21:D24)</f>
        <v/>
      </c>
      <c r="E20" s="6">
        <f>SUM(E21:E24)</f>
        <v/>
      </c>
      <c r="F20" s="6">
        <f>SUM(F21:F24)</f>
        <v/>
      </c>
      <c r="G20" s="6">
        <f>SUM(G21:G24)</f>
        <v/>
      </c>
      <c r="H20" s="6">
        <f>SUM(H21:H24)</f>
        <v/>
      </c>
      <c r="I20" s="7">
        <f>SUM(I21:I24)</f>
        <v/>
      </c>
    </row>
    <row r="21" ht="13" customHeight="1">
      <c r="A21" s="8" t="inlineStr"/>
      <c r="B21" s="8" t="inlineStr">
        <is>
          <t xml:space="preserve">  3000万　商工中金</t>
        </is>
      </c>
      <c r="C21" s="9" t="n">
        <v>516083</v>
      </c>
      <c r="D21" s="9" t="n">
        <v>515457</v>
      </c>
      <c r="E21" s="9" t="n">
        <v>515600</v>
      </c>
      <c r="F21" s="9" t="n">
        <v>512709</v>
      </c>
      <c r="G21" s="9" t="n">
        <v>512852</v>
      </c>
      <c r="H21" s="9" t="n">
        <v>513663</v>
      </c>
      <c r="I21" s="10">
        <f>SUM(C21:H21)</f>
        <v/>
      </c>
    </row>
    <row r="22" ht="13" customHeight="1">
      <c r="A22" s="8" t="inlineStr">
        <is>
          <t>20</t>
        </is>
      </c>
      <c r="B22" s="8" t="inlineStr">
        <is>
          <t xml:space="preserve">  商工中金5千万R17.9迄（58回〜60回）</t>
        </is>
      </c>
      <c r="C22" s="9" t="n">
        <v>314407</v>
      </c>
      <c r="D22" s="9" t="n">
        <v>314122</v>
      </c>
      <c r="E22" s="9" t="n">
        <v>312745</v>
      </c>
      <c r="F22" s="9" t="n"/>
      <c r="G22" s="9" t="n"/>
      <c r="H22" s="9" t="n"/>
      <c r="I22" s="10">
        <f>SUM(C22:H22)</f>
        <v/>
      </c>
    </row>
    <row r="23" ht="13" customHeight="1">
      <c r="A23" s="8" t="inlineStr">
        <is>
          <t>25</t>
        </is>
      </c>
      <c r="B23" s="8" t="inlineStr">
        <is>
          <t xml:space="preserve">  岐信　4000万　R7.7～（4回〜6回）</t>
        </is>
      </c>
      <c r="C23" s="9" t="n"/>
      <c r="D23" s="9" t="n"/>
      <c r="E23" s="9" t="n"/>
      <c r="F23" s="9" t="n">
        <v>416797</v>
      </c>
      <c r="G23" s="9" t="n">
        <v>414892</v>
      </c>
      <c r="H23" s="9" t="n">
        <v>415914</v>
      </c>
      <c r="I23" s="10">
        <f>SUM(C23:H23)</f>
        <v/>
      </c>
    </row>
    <row r="24" ht="12" customHeight="1">
      <c r="A24" s="11" t="n"/>
      <c r="B24" s="11" t="n"/>
      <c r="C24" s="12" t="n"/>
      <c r="D24" s="12" t="n"/>
      <c r="E24" s="12" t="n"/>
      <c r="F24" s="12" t="n"/>
      <c r="G24" s="12" t="n"/>
      <c r="H24" s="12" t="n"/>
      <c r="I24" s="13" t="n"/>
    </row>
    <row r="25" ht="14" customHeight="1">
      <c r="A25" s="4" t="n"/>
      <c r="B25" s="5" t="inlineStr">
        <is>
          <t>▶ 食材仕入れ</t>
        </is>
      </c>
      <c r="C25" s="6">
        <f>SUM(C26:C42)</f>
        <v/>
      </c>
      <c r="D25" s="6">
        <f>SUM(D26:D42)</f>
        <v/>
      </c>
      <c r="E25" s="6">
        <f>SUM(E26:E42)</f>
        <v/>
      </c>
      <c r="F25" s="6">
        <f>SUM(F26:F42)</f>
        <v/>
      </c>
      <c r="G25" s="6">
        <f>SUM(G26:G42)</f>
        <v/>
      </c>
      <c r="H25" s="6">
        <f>SUM(H26:H42)</f>
        <v/>
      </c>
      <c r="I25" s="7">
        <f>SUM(I26:I42)</f>
        <v/>
      </c>
    </row>
    <row r="26" ht="13" customHeight="1">
      <c r="A26" s="8" t="inlineStr"/>
      <c r="B26" s="8" t="inlineStr">
        <is>
          <t xml:space="preserve">  大光</t>
        </is>
      </c>
      <c r="C26" s="9" t="n">
        <v>102837</v>
      </c>
      <c r="D26" s="9" t="n">
        <v>153214</v>
      </c>
      <c r="E26" s="9" t="n">
        <v>94651</v>
      </c>
      <c r="F26" s="9" t="n">
        <v>60285</v>
      </c>
      <c r="G26" s="9" t="n">
        <v>46369</v>
      </c>
      <c r="H26" s="9" t="n">
        <v>28549</v>
      </c>
      <c r="I26" s="10">
        <f>SUM(C26:H26)</f>
        <v/>
      </c>
    </row>
    <row r="27" ht="13" customHeight="1">
      <c r="A27" s="8" t="inlineStr"/>
      <c r="B27" s="8" t="inlineStr">
        <is>
          <t xml:space="preserve">  高瀬物産　仕入</t>
        </is>
      </c>
      <c r="C27" s="9" t="n">
        <v>87408</v>
      </c>
      <c r="D27" s="9" t="n">
        <v>74751</v>
      </c>
      <c r="E27" s="9" t="n">
        <v>118008</v>
      </c>
      <c r="F27" s="9" t="n">
        <v>44700</v>
      </c>
      <c r="G27" s="9" t="n">
        <v>92826</v>
      </c>
      <c r="H27" s="9" t="n">
        <v>64604</v>
      </c>
      <c r="I27" s="10">
        <f>SUM(C27:H27)</f>
        <v/>
      </c>
    </row>
    <row r="28" ht="13" customHeight="1">
      <c r="A28" s="8" t="inlineStr"/>
      <c r="B28" s="8" t="inlineStr">
        <is>
          <t xml:space="preserve">  名古屋製酪　仕入</t>
        </is>
      </c>
      <c r="C28" s="9" t="n">
        <v>66314</v>
      </c>
      <c r="D28" s="9" t="n">
        <v>93693</v>
      </c>
      <c r="E28" s="9" t="n">
        <v>61434</v>
      </c>
      <c r="F28" s="9" t="n">
        <v>41505</v>
      </c>
      <c r="G28" s="9" t="n">
        <v>55911</v>
      </c>
      <c r="H28" s="9" t="n">
        <v>41005</v>
      </c>
      <c r="I28" s="10">
        <f>SUM(C28:H28)</f>
        <v/>
      </c>
    </row>
    <row r="29" ht="13" customHeight="1">
      <c r="A29" s="8" t="inlineStr"/>
      <c r="B29" s="8" t="inlineStr">
        <is>
          <t xml:space="preserve">  マルト水谷　仕入</t>
        </is>
      </c>
      <c r="C29" s="9" t="n">
        <v>252020</v>
      </c>
      <c r="D29" s="9" t="n">
        <v>346519</v>
      </c>
      <c r="E29" s="9" t="n">
        <v>312826</v>
      </c>
      <c r="F29" s="9" t="n">
        <v>127100</v>
      </c>
      <c r="G29" s="9" t="n">
        <v>244488</v>
      </c>
      <c r="H29" s="9" t="n">
        <v>217684</v>
      </c>
      <c r="I29" s="10">
        <f>SUM(C29:H29)</f>
        <v/>
      </c>
    </row>
    <row r="30" ht="13" customHeight="1">
      <c r="A30" s="8" t="inlineStr"/>
      <c r="B30" s="8" t="inlineStr">
        <is>
          <t xml:space="preserve">  丸福商店　仕入</t>
        </is>
      </c>
      <c r="C30" s="9" t="n">
        <v>130491</v>
      </c>
      <c r="D30" s="9" t="n">
        <v>153093</v>
      </c>
      <c r="E30" s="9" t="n">
        <v>171559</v>
      </c>
      <c r="F30" s="9" t="n">
        <v>49978</v>
      </c>
      <c r="G30" s="9" t="n">
        <v>9210</v>
      </c>
      <c r="H30" s="9" t="n">
        <v>18333</v>
      </c>
      <c r="I30" s="10">
        <f>SUM(C30:H30)</f>
        <v/>
      </c>
    </row>
    <row r="31" ht="13" customHeight="1">
      <c r="A31" s="8" t="inlineStr"/>
      <c r="B31" s="8" t="inlineStr">
        <is>
          <t xml:space="preserve">  奥田庄司　商店</t>
        </is>
      </c>
      <c r="C31" s="9" t="n">
        <v>25600</v>
      </c>
      <c r="D31" s="9" t="n">
        <v>43200</v>
      </c>
      <c r="E31" s="9" t="n">
        <v>38400</v>
      </c>
      <c r="F31" s="9" t="n">
        <v>25600</v>
      </c>
      <c r="G31" s="9" t="n"/>
      <c r="H31" s="9" t="n">
        <v>20790</v>
      </c>
      <c r="I31" s="10">
        <f>SUM(C31:H31)</f>
        <v/>
      </c>
    </row>
    <row r="32" ht="13" customHeight="1">
      <c r="A32" s="8" t="inlineStr">
        <is>
          <t>15</t>
        </is>
      </c>
      <c r="B32" s="8" t="inlineStr">
        <is>
          <t xml:space="preserve">  小口　店舗</t>
        </is>
      </c>
      <c r="C32" s="9" t="n">
        <v>200000</v>
      </c>
      <c r="D32" s="9" t="n">
        <v>180000</v>
      </c>
      <c r="E32" s="9" t="n"/>
      <c r="F32" s="9" t="n">
        <v>200000</v>
      </c>
      <c r="G32" s="9" t="n">
        <v>200000</v>
      </c>
      <c r="H32" s="9" t="n">
        <v>300000</v>
      </c>
      <c r="I32" s="10">
        <f>SUM(C32:H32)</f>
        <v/>
      </c>
    </row>
    <row r="33" ht="13" customHeight="1">
      <c r="A33" s="8" t="inlineStr">
        <is>
          <t>24</t>
        </is>
      </c>
      <c r="B33" s="8" t="inlineStr">
        <is>
          <t xml:space="preserve">  小口　店舗</t>
        </is>
      </c>
      <c r="C33" s="9" t="n"/>
      <c r="D33" s="9" t="n"/>
      <c r="E33" s="9" t="n"/>
      <c r="F33" s="9" t="n">
        <v>50000</v>
      </c>
      <c r="G33" s="9" t="n"/>
      <c r="H33" s="9" t="n"/>
      <c r="I33" s="10">
        <f>SUM(C33:H33)</f>
        <v/>
      </c>
    </row>
    <row r="34" ht="13" customHeight="1">
      <c r="A34" s="8" t="inlineStr">
        <is>
          <t>末</t>
        </is>
      </c>
      <c r="B34" s="8" t="inlineStr">
        <is>
          <t xml:space="preserve">  浅野　純也　仕入</t>
        </is>
      </c>
      <c r="C34" s="9" t="n"/>
      <c r="D34" s="9" t="n">
        <v>161267</v>
      </c>
      <c r="E34" s="9" t="n">
        <v>2600</v>
      </c>
      <c r="F34" s="9" t="n">
        <v>32855</v>
      </c>
      <c r="G34" s="9" t="n">
        <v>44500</v>
      </c>
      <c r="H34" s="9" t="n">
        <v>43254</v>
      </c>
      <c r="I34" s="10">
        <f>SUM(C34:H34)</f>
        <v/>
      </c>
    </row>
    <row r="35" ht="13" customHeight="1">
      <c r="A35" s="8" t="inlineStr">
        <is>
          <t>15</t>
        </is>
      </c>
      <c r="B35" s="8" t="inlineStr">
        <is>
          <t xml:space="preserve">  小口　本社</t>
        </is>
      </c>
      <c r="C35" s="14" t="n">
        <v>100000</v>
      </c>
      <c r="D35" s="14" t="n"/>
      <c r="E35" s="14" t="n"/>
      <c r="F35" s="14" t="n">
        <v>100000</v>
      </c>
      <c r="G35" s="14" t="n"/>
      <c r="H35" s="14" t="n"/>
      <c r="I35" s="10">
        <f>SUM(C35:H35)</f>
        <v/>
      </c>
    </row>
    <row r="36" ht="13" customHeight="1">
      <c r="A36" s="8" t="inlineStr"/>
      <c r="B36" s="8" t="inlineStr">
        <is>
          <t xml:space="preserve">  ミカフェート</t>
        </is>
      </c>
      <c r="C36" s="9" t="n"/>
      <c r="D36" s="9" t="n">
        <v>23760</v>
      </c>
      <c r="E36" s="9" t="n"/>
      <c r="F36" s="9" t="n"/>
      <c r="G36" s="9" t="n"/>
      <c r="H36" s="9" t="n">
        <v>50220</v>
      </c>
      <c r="I36" s="10">
        <f>SUM(C36:H36)</f>
        <v/>
      </c>
    </row>
    <row r="37" ht="13" customHeight="1">
      <c r="A37" s="8" t="inlineStr">
        <is>
          <t>末</t>
        </is>
      </c>
      <c r="B37" s="8" t="inlineStr">
        <is>
          <t xml:space="preserve">  浅野屋　仕入</t>
        </is>
      </c>
      <c r="C37" s="9" t="n">
        <v>121163</v>
      </c>
      <c r="D37" s="9" t="n"/>
      <c r="E37" s="9" t="n"/>
      <c r="F37" s="9" t="n"/>
      <c r="G37" s="9" t="n"/>
      <c r="H37" s="9" t="n"/>
      <c r="I37" s="10">
        <f>SUM(C37:H37)</f>
        <v/>
      </c>
    </row>
    <row r="38" ht="13" customHeight="1">
      <c r="A38" s="8" t="inlineStr"/>
      <c r="B38" s="8" t="inlineStr">
        <is>
          <t xml:space="preserve">  美瑛</t>
        </is>
      </c>
      <c r="C38" s="9" t="n">
        <v>17740</v>
      </c>
      <c r="D38" s="9" t="n"/>
      <c r="E38" s="9" t="n"/>
      <c r="F38" s="9" t="n"/>
      <c r="G38" s="9" t="n"/>
      <c r="H38" s="9" t="n"/>
      <c r="I38" s="10">
        <f>SUM(C38:H38)</f>
        <v/>
      </c>
    </row>
    <row r="39" ht="13" customHeight="1">
      <c r="A39" s="8" t="inlineStr"/>
      <c r="B39" s="8" t="inlineStr">
        <is>
          <t xml:space="preserve">  ウエノヒロㇱ　仕入</t>
        </is>
      </c>
      <c r="C39" s="9" t="n"/>
      <c r="D39" s="9" t="n">
        <v>34873</v>
      </c>
      <c r="E39" s="9" t="n"/>
      <c r="F39" s="9" t="n"/>
      <c r="G39" s="9" t="n"/>
      <c r="H39" s="9" t="n"/>
      <c r="I39" s="10">
        <f>SUM(C39:H39)</f>
        <v/>
      </c>
    </row>
    <row r="40" ht="13" customHeight="1">
      <c r="A40" s="8" t="inlineStr"/>
      <c r="B40" s="8" t="inlineStr">
        <is>
          <t xml:space="preserve">  浅野屋</t>
        </is>
      </c>
      <c r="C40" s="9" t="n"/>
      <c r="D40" s="9" t="n"/>
      <c r="E40" s="9" t="n">
        <v>190051</v>
      </c>
      <c r="F40" s="9" t="n"/>
      <c r="G40" s="9" t="n"/>
      <c r="H40" s="9" t="n"/>
      <c r="I40" s="10">
        <f>SUM(C40:H40)</f>
        <v/>
      </c>
    </row>
    <row r="41" ht="13" customHeight="1">
      <c r="A41" s="8" t="inlineStr"/>
      <c r="B41" s="8" t="inlineStr">
        <is>
          <t xml:space="preserve">  食の道場</t>
        </is>
      </c>
      <c r="C41" s="9" t="n"/>
      <c r="D41" s="9" t="n"/>
      <c r="E41" s="9" t="n"/>
      <c r="F41" s="9" t="n"/>
      <c r="G41" s="9" t="n">
        <v>21578</v>
      </c>
      <c r="H41" s="9" t="n"/>
      <c r="I41" s="10">
        <f>SUM(C41:H41)</f>
        <v/>
      </c>
    </row>
    <row r="42" ht="12" customHeight="1">
      <c r="A42" s="11" t="n"/>
      <c r="B42" s="11" t="n"/>
      <c r="C42" s="12" t="n"/>
      <c r="D42" s="12" t="n"/>
      <c r="E42" s="12" t="n"/>
      <c r="F42" s="12" t="n"/>
      <c r="G42" s="12" t="n"/>
      <c r="H42" s="12" t="n"/>
      <c r="I42" s="13" t="n"/>
    </row>
    <row r="43" ht="14" customHeight="1">
      <c r="A43" s="4" t="n"/>
      <c r="B43" s="5" t="inlineStr">
        <is>
          <t>▶ 物販仕入れ</t>
        </is>
      </c>
      <c r="C43" s="6">
        <f>SUM(C44:C45)</f>
        <v/>
      </c>
      <c r="D43" s="6">
        <f>SUM(D44:D45)</f>
        <v/>
      </c>
      <c r="E43" s="6">
        <f>SUM(E44:E45)</f>
        <v/>
      </c>
      <c r="F43" s="6">
        <f>SUM(F44:F45)</f>
        <v/>
      </c>
      <c r="G43" s="6">
        <f>SUM(G44:G45)</f>
        <v/>
      </c>
      <c r="H43" s="6">
        <f>SUM(H44:H45)</f>
        <v/>
      </c>
      <c r="I43" s="7">
        <f>SUM(I44:I45)</f>
        <v/>
      </c>
    </row>
    <row r="44" ht="13" customHeight="1">
      <c r="A44" s="8" t="inlineStr"/>
      <c r="B44" s="8" t="inlineStr">
        <is>
          <t xml:space="preserve">  デジックス</t>
        </is>
      </c>
      <c r="C44" s="9" t="n"/>
      <c r="D44" s="9" t="n">
        <v>22424</v>
      </c>
      <c r="E44" s="9" t="n"/>
      <c r="F44" s="9" t="n">
        <v>18978</v>
      </c>
      <c r="G44" s="9" t="n"/>
      <c r="H44" s="9" t="n"/>
      <c r="I44" s="10">
        <f>SUM(C44:H44)</f>
        <v/>
      </c>
    </row>
    <row r="45" ht="1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3" t="n"/>
    </row>
    <row r="46" ht="14" customHeight="1">
      <c r="A46" s="4" t="n"/>
      <c r="B46" s="5" t="inlineStr">
        <is>
          <t>▶ 通信費</t>
        </is>
      </c>
      <c r="C46" s="6">
        <f>SUM(C47:C49)</f>
        <v/>
      </c>
      <c r="D46" s="6">
        <f>SUM(D47:D49)</f>
        <v/>
      </c>
      <c r="E46" s="6">
        <f>SUM(E47:E49)</f>
        <v/>
      </c>
      <c r="F46" s="6">
        <f>SUM(F47:F49)</f>
        <v/>
      </c>
      <c r="G46" s="6">
        <f>SUM(G47:G49)</f>
        <v/>
      </c>
      <c r="H46" s="6">
        <f>SUM(H47:H49)</f>
        <v/>
      </c>
      <c r="I46" s="7">
        <f>SUM(I47:I49)</f>
        <v/>
      </c>
    </row>
    <row r="47" ht="13" customHeight="1">
      <c r="A47" s="8" t="inlineStr"/>
      <c r="B47" s="8" t="inlineStr">
        <is>
          <t xml:space="preserve">  携帯</t>
        </is>
      </c>
      <c r="C47" s="14" t="n">
        <v>2400</v>
      </c>
      <c r="D47" s="14" t="n">
        <v>2400</v>
      </c>
      <c r="E47" s="14" t="n">
        <v>2400</v>
      </c>
      <c r="F47" s="14" t="n">
        <v>2400</v>
      </c>
      <c r="G47" s="14" t="n">
        <v>2400</v>
      </c>
      <c r="H47" s="14" t="n">
        <v>2400</v>
      </c>
      <c r="I47" s="10">
        <f>SUM(C47:H47)</f>
        <v/>
      </c>
    </row>
    <row r="48" ht="13" customHeight="1">
      <c r="A48" s="8" t="inlineStr"/>
      <c r="B48" s="8" t="inlineStr">
        <is>
          <t xml:space="preserve">  施設利用　通信警備入金機音響サーバー</t>
        </is>
      </c>
      <c r="C48" s="14" t="n">
        <v>69276</v>
      </c>
      <c r="D48" s="14" t="n">
        <v>69276</v>
      </c>
      <c r="E48" s="14" t="n">
        <v>69276</v>
      </c>
      <c r="F48" s="14" t="n">
        <v>69276</v>
      </c>
      <c r="G48" s="14" t="n">
        <v>69276</v>
      </c>
      <c r="H48" s="14" t="n">
        <v>69276</v>
      </c>
      <c r="I48" s="10">
        <f>SUM(C48:H48)</f>
        <v/>
      </c>
    </row>
    <row r="49" ht="1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3" t="n"/>
    </row>
    <row r="50" ht="14" customHeight="1">
      <c r="A50" s="4" t="n"/>
      <c r="B50" s="5" t="inlineStr">
        <is>
          <t>▶ 雑費　消耗品　修繕費　その他</t>
        </is>
      </c>
      <c r="C50" s="6">
        <f>SUM(C51:C62)</f>
        <v/>
      </c>
      <c r="D50" s="6">
        <f>SUM(D51:D62)</f>
        <v/>
      </c>
      <c r="E50" s="6">
        <f>SUM(E51:E62)</f>
        <v/>
      </c>
      <c r="F50" s="6">
        <f>SUM(F51:F62)</f>
        <v/>
      </c>
      <c r="G50" s="6">
        <f>SUM(G51:G62)</f>
        <v/>
      </c>
      <c r="H50" s="6">
        <f>SUM(H51:H62)</f>
        <v/>
      </c>
      <c r="I50" s="7">
        <f>SUM(I51:I62)</f>
        <v/>
      </c>
    </row>
    <row r="51" ht="13" customHeight="1">
      <c r="A51" s="8" t="inlineStr"/>
      <c r="B51" s="8" t="inlineStr">
        <is>
          <t xml:space="preserve">  イーコム　ゴミ回収</t>
        </is>
      </c>
      <c r="C51" s="9" t="n">
        <v>33528</v>
      </c>
      <c r="D51" s="9" t="n">
        <v>34799</v>
      </c>
      <c r="E51" s="9" t="n">
        <v>34799</v>
      </c>
      <c r="F51" s="9" t="n">
        <v>30987</v>
      </c>
      <c r="G51" s="9" t="n">
        <v>32439</v>
      </c>
      <c r="H51" s="9" t="n">
        <v>32439</v>
      </c>
      <c r="I51" s="10">
        <f>SUM(C51:H51)</f>
        <v/>
      </c>
    </row>
    <row r="52" ht="13" customHeight="1">
      <c r="A52" s="8" t="inlineStr"/>
      <c r="B52" s="8" t="inlineStr">
        <is>
          <t xml:space="preserve">  清芳屋</t>
        </is>
      </c>
      <c r="C52" s="9" t="n">
        <v>19540</v>
      </c>
      <c r="D52" s="9" t="n">
        <v>13590</v>
      </c>
      <c r="E52" s="9" t="n">
        <v>35400</v>
      </c>
      <c r="F52" s="9" t="n">
        <v>6820</v>
      </c>
      <c r="G52" s="9" t="n">
        <v>12320</v>
      </c>
      <c r="H52" s="9" t="n">
        <v>4760</v>
      </c>
      <c r="I52" s="10">
        <f>SUM(C52:H52)</f>
        <v/>
      </c>
    </row>
    <row r="53" ht="13" customHeight="1">
      <c r="A53" s="8" t="inlineStr"/>
      <c r="B53" s="8" t="inlineStr">
        <is>
          <t xml:space="preserve">  ダスキン未来</t>
        </is>
      </c>
      <c r="C53" s="9" t="n">
        <v>4884</v>
      </c>
      <c r="D53" s="9" t="n">
        <v>4884</v>
      </c>
      <c r="E53" s="9" t="n">
        <v>54384</v>
      </c>
      <c r="F53" s="9" t="n">
        <v>4884</v>
      </c>
      <c r="G53" s="9" t="n">
        <v>7326</v>
      </c>
      <c r="H53" s="9" t="n">
        <v>4884</v>
      </c>
      <c r="I53" s="10">
        <f>SUM(C53:H53)</f>
        <v/>
      </c>
    </row>
    <row r="54" ht="13" customHeight="1">
      <c r="A54" s="8" t="inlineStr"/>
      <c r="B54" s="8" t="inlineStr">
        <is>
          <t xml:space="preserve">  パスタボイラー　リース</t>
        </is>
      </c>
      <c r="C54" s="14" t="n">
        <v>6600</v>
      </c>
      <c r="D54" s="14" t="n">
        <v>6600</v>
      </c>
      <c r="E54" s="14" t="n">
        <v>6600</v>
      </c>
      <c r="F54" s="14" t="n">
        <v>6600</v>
      </c>
      <c r="G54" s="14" t="n">
        <v>6600</v>
      </c>
      <c r="H54" s="14" t="n">
        <v>6600</v>
      </c>
      <c r="I54" s="10">
        <f>SUM(C54:H54)</f>
        <v/>
      </c>
    </row>
    <row r="55" ht="13" customHeight="1">
      <c r="A55" s="8" t="inlineStr"/>
      <c r="B55" s="8" t="inlineStr">
        <is>
          <t xml:space="preserve">  グローバル　粉雪アイスメーカー40回</t>
        </is>
      </c>
      <c r="C55" s="14" t="n">
        <v>55000</v>
      </c>
      <c r="D55" s="14" t="n">
        <v>55000</v>
      </c>
      <c r="E55" s="14" t="n">
        <v>55000</v>
      </c>
      <c r="F55" s="14" t="n">
        <v>55000</v>
      </c>
      <c r="G55" s="14" t="n">
        <v>55000</v>
      </c>
      <c r="H55" s="14" t="n">
        <v>55000</v>
      </c>
      <c r="I55" s="10">
        <f>SUM(C55:H55)</f>
        <v/>
      </c>
    </row>
    <row r="56" ht="13" customHeight="1">
      <c r="A56" s="8" t="inlineStr"/>
      <c r="B56" s="8" t="inlineStr">
        <is>
          <t xml:space="preserve">  マルト水谷</t>
        </is>
      </c>
      <c r="C56" s="9" t="n">
        <v>1936</v>
      </c>
      <c r="D56" s="9" t="n"/>
      <c r="E56" s="9" t="n">
        <v>649</v>
      </c>
      <c r="F56" s="9" t="n">
        <v>4917</v>
      </c>
      <c r="G56" s="9" t="n">
        <v>9174</v>
      </c>
      <c r="H56" s="9" t="n">
        <v>8336</v>
      </c>
      <c r="I56" s="10">
        <f>SUM(C56:H56)</f>
        <v/>
      </c>
    </row>
    <row r="57" ht="13" customHeight="1">
      <c r="A57" s="8" t="inlineStr"/>
      <c r="B57" s="8" t="inlineStr">
        <is>
          <t xml:space="preserve">  ホクエー</t>
        </is>
      </c>
      <c r="C57" s="14" t="n">
        <v>17160</v>
      </c>
      <c r="D57" s="14" t="n">
        <v>17160</v>
      </c>
      <c r="E57" s="14" t="n"/>
      <c r="F57" s="14" t="n"/>
      <c r="G57" s="14" t="n"/>
      <c r="H57" s="14" t="n"/>
      <c r="I57" s="10">
        <f>SUM(C57:H57)</f>
        <v/>
      </c>
    </row>
    <row r="58" ht="13" customHeight="1">
      <c r="A58" s="8" t="inlineStr"/>
      <c r="B58" s="8" t="inlineStr">
        <is>
          <t xml:space="preserve">  いんだ　消耗品</t>
        </is>
      </c>
      <c r="C58" s="9" t="n"/>
      <c r="D58" s="9" t="n">
        <v>62727</v>
      </c>
      <c r="E58" s="9" t="n">
        <v>59543</v>
      </c>
      <c r="F58" s="9" t="n"/>
      <c r="G58" s="9" t="n"/>
      <c r="H58" s="9" t="n"/>
      <c r="I58" s="10">
        <f>SUM(C58:H58)</f>
        <v/>
      </c>
    </row>
    <row r="59" ht="13" customHeight="1">
      <c r="A59" s="8" t="inlineStr"/>
      <c r="B59" s="8" t="inlineStr">
        <is>
          <t xml:space="preserve">  ミカフェート</t>
        </is>
      </c>
      <c r="C59" s="14" t="n"/>
      <c r="D59" s="14" t="n">
        <v>1650</v>
      </c>
      <c r="E59" s="14" t="n"/>
      <c r="F59" s="14" t="n"/>
      <c r="G59" s="14" t="n"/>
      <c r="H59" s="14" t="n">
        <v>1650</v>
      </c>
      <c r="I59" s="10">
        <f>SUM(C59:H59)</f>
        <v/>
      </c>
    </row>
    <row r="60" ht="13" customHeight="1">
      <c r="A60" s="8" t="inlineStr"/>
      <c r="B60" s="8" t="inlineStr">
        <is>
          <t xml:space="preserve">  岩永食器　ワイン仕入</t>
        </is>
      </c>
      <c r="C60" s="9" t="n">
        <v>23865</v>
      </c>
      <c r="D60" s="9" t="n"/>
      <c r="E60" s="9" t="n"/>
      <c r="F60" s="9" t="n"/>
      <c r="G60" s="9" t="n"/>
      <c r="H60" s="9" t="n"/>
      <c r="I60" s="10">
        <f>SUM(C60:H60)</f>
        <v/>
      </c>
    </row>
    <row r="61" ht="13" customHeight="1">
      <c r="A61" s="8" t="inlineStr"/>
      <c r="B61" s="8" t="inlineStr">
        <is>
          <t xml:space="preserve">  ホシザキ東海</t>
        </is>
      </c>
      <c r="C61" s="9" t="n"/>
      <c r="D61" s="9" t="n">
        <v>90464</v>
      </c>
      <c r="E61" s="9" t="n"/>
      <c r="F61" s="9" t="n"/>
      <c r="G61" s="9" t="n"/>
      <c r="H61" s="9" t="n"/>
      <c r="I61" s="10">
        <f>SUM(C61:H61)</f>
        <v/>
      </c>
    </row>
    <row r="62" ht="12" customHeight="1">
      <c r="A62" s="11" t="n"/>
      <c r="B62" s="11" t="n"/>
      <c r="C62" s="12" t="n"/>
      <c r="D62" s="12" t="n"/>
      <c r="E62" s="12" t="n"/>
      <c r="F62" s="12" t="n"/>
      <c r="G62" s="12" t="n"/>
      <c r="H62" s="12" t="n"/>
      <c r="I62" s="13" t="n"/>
    </row>
    <row r="63" ht="14" customHeight="1">
      <c r="A63" s="4" t="n"/>
      <c r="B63" s="5" t="inlineStr">
        <is>
          <t>▶ 広告宣伝費</t>
        </is>
      </c>
      <c r="C63" s="6">
        <f>SUM(C64:C66)</f>
        <v/>
      </c>
      <c r="D63" s="6">
        <f>SUM(D64:D66)</f>
        <v/>
      </c>
      <c r="E63" s="6">
        <f>SUM(E64:E66)</f>
        <v/>
      </c>
      <c r="F63" s="6">
        <f>SUM(F64:F66)</f>
        <v/>
      </c>
      <c r="G63" s="6">
        <f>SUM(G64:G66)</f>
        <v/>
      </c>
      <c r="H63" s="6">
        <f>SUM(H64:H66)</f>
        <v/>
      </c>
      <c r="I63" s="7">
        <f>SUM(I64:I66)</f>
        <v/>
      </c>
    </row>
    <row r="64" ht="13" customHeight="1">
      <c r="A64" s="8" t="inlineStr"/>
      <c r="B64" s="8" t="inlineStr">
        <is>
          <t xml:space="preserve">  USEN　デジタルサイネージ</t>
        </is>
      </c>
      <c r="C64" s="9" t="n">
        <v>32318</v>
      </c>
      <c r="D64" s="9" t="n">
        <v>32318</v>
      </c>
      <c r="E64" s="9" t="n">
        <v>32318</v>
      </c>
      <c r="F64" s="9" t="n">
        <v>32318</v>
      </c>
      <c r="G64" s="9" t="n">
        <v>114818</v>
      </c>
      <c r="H64" s="9" t="n">
        <v>32318</v>
      </c>
      <c r="I64" s="10">
        <f>SUM(C64:H64)</f>
        <v/>
      </c>
    </row>
    <row r="65" ht="13" customHeight="1">
      <c r="A65" s="8" t="inlineStr"/>
      <c r="B65" s="8" t="inlineStr">
        <is>
          <t xml:space="preserve">  アドプランナー　募集</t>
        </is>
      </c>
      <c r="C65" s="9" t="n"/>
      <c r="D65" s="9" t="n"/>
      <c r="E65" s="9" t="n">
        <v>62053</v>
      </c>
      <c r="F65" s="9" t="n">
        <v>9445</v>
      </c>
      <c r="G65" s="9" t="n"/>
      <c r="H65" s="9" t="n"/>
      <c r="I65" s="10">
        <f>SUM(C65:H65)</f>
        <v/>
      </c>
    </row>
    <row r="66" ht="12" customHeight="1">
      <c r="A66" s="11" t="n"/>
      <c r="B66" s="11" t="n"/>
      <c r="C66" s="12" t="n"/>
      <c r="D66" s="12" t="n"/>
      <c r="E66" s="12" t="n"/>
      <c r="F66" s="12" t="n"/>
      <c r="G66" s="12" t="n"/>
      <c r="H66" s="12" t="n"/>
      <c r="I66" s="13" t="n"/>
    </row>
    <row r="67" ht="15" customHeight="1">
      <c r="A67" s="15" t="n"/>
      <c r="B67" s="16" t="inlineStr">
        <is>
          <t>① 支出合計</t>
        </is>
      </c>
      <c r="C67" s="17">
        <f>C4+C14+C20+C25+C43+C46+C50+C63</f>
        <v/>
      </c>
      <c r="D67" s="17">
        <f>D4+D14+D20+D25+D43+D46+D50+D63</f>
        <v/>
      </c>
      <c r="E67" s="17">
        <f>E4+E14+E20+E25+E43+E46+E50+E63</f>
        <v/>
      </c>
      <c r="F67" s="17">
        <f>F4+F14+F20+F25+F43+F46+F50+F63</f>
        <v/>
      </c>
      <c r="G67" s="17">
        <f>G4+G14+G20+G25+G43+G46+G50+G63</f>
        <v/>
      </c>
      <c r="H67" s="17">
        <f>H4+H14+H20+H25+H43+H46+H50+H63</f>
        <v/>
      </c>
      <c r="I67" s="7">
        <f>I4+I14+I20+I25+I43+I46+I50+I63</f>
        <v/>
      </c>
    </row>
    <row r="69" ht="16" customHeight="1">
      <c r="A69" s="18" t="inlineStr">
        <is>
          <t>【 ② 収　入（売上・粗利・雑収入など） 】</t>
        </is>
      </c>
    </row>
    <row r="70" ht="14" customHeight="1">
      <c r="A70" s="19" t="n"/>
      <c r="B70" s="20" t="inlineStr">
        <is>
          <t>▶ 収入・支出項目</t>
        </is>
      </c>
      <c r="C70" s="21">
        <f>SUM(C71:C83)</f>
        <v/>
      </c>
      <c r="D70" s="21">
        <f>SUM(D71:D83)</f>
        <v/>
      </c>
      <c r="E70" s="21">
        <f>SUM(E71:E83)</f>
        <v/>
      </c>
      <c r="F70" s="21">
        <f>SUM(F71:F83)</f>
        <v/>
      </c>
      <c r="G70" s="21">
        <f>SUM(G71:G83)</f>
        <v/>
      </c>
      <c r="H70" s="21">
        <f>SUM(H71:H83)</f>
        <v/>
      </c>
      <c r="I70" s="7">
        <f>SUM(I71:I83)</f>
        <v/>
      </c>
    </row>
    <row r="71" ht="13" customHeight="1">
      <c r="A71" s="22" t="inlineStr">
        <is>
          <t>1週目</t>
        </is>
      </c>
      <c r="B71" s="22" t="inlineStr">
        <is>
          <t xml:space="preserve">  売上入金</t>
        </is>
      </c>
      <c r="C71" s="23" t="n">
        <v>332531</v>
      </c>
      <c r="D71" s="23" t="n">
        <v>289820</v>
      </c>
      <c r="E71" s="23" t="n">
        <v>189838</v>
      </c>
      <c r="F71" s="23" t="n">
        <v>205348</v>
      </c>
      <c r="G71" s="23" t="n">
        <v>212349</v>
      </c>
      <c r="H71" s="23" t="n">
        <v>168904</v>
      </c>
      <c r="I71" s="10">
        <f>SUM(C71:H71)</f>
        <v/>
      </c>
    </row>
    <row r="72" ht="13" customHeight="1">
      <c r="A72" s="22" t="inlineStr">
        <is>
          <t>2週目</t>
        </is>
      </c>
      <c r="B72" s="22" t="inlineStr">
        <is>
          <t xml:space="preserve">  売上入金</t>
        </is>
      </c>
      <c r="C72" s="23" t="n">
        <v>173950</v>
      </c>
      <c r="D72" s="23" t="n">
        <v>468899</v>
      </c>
      <c r="E72" s="23" t="n">
        <v>284702</v>
      </c>
      <c r="F72" s="23" t="n">
        <v>413630</v>
      </c>
      <c r="G72" s="23" t="n">
        <v>240885</v>
      </c>
      <c r="H72" s="23" t="n">
        <v>428792</v>
      </c>
      <c r="I72" s="10">
        <f>SUM(C72:H72)</f>
        <v/>
      </c>
    </row>
    <row r="73" ht="13" customHeight="1">
      <c r="A73" s="22" t="inlineStr">
        <is>
          <t>3週目</t>
        </is>
      </c>
      <c r="B73" s="22" t="inlineStr">
        <is>
          <t xml:space="preserve">  売上入金</t>
        </is>
      </c>
      <c r="C73" s="23" t="n">
        <v>393973</v>
      </c>
      <c r="D73" s="23" t="n">
        <v>307804</v>
      </c>
      <c r="E73" s="23" t="n">
        <v>309397</v>
      </c>
      <c r="F73" s="23" t="n">
        <v>824431</v>
      </c>
      <c r="G73" s="23" t="n">
        <v>227030</v>
      </c>
      <c r="H73" s="23" t="n">
        <v>400792</v>
      </c>
      <c r="I73" s="10">
        <f>SUM(C73:H73)</f>
        <v/>
      </c>
    </row>
    <row r="74" ht="13" customHeight="1">
      <c r="A74" s="22" t="inlineStr">
        <is>
          <t>4週目</t>
        </is>
      </c>
      <c r="B74" s="22" t="inlineStr">
        <is>
          <t xml:space="preserve">  売上入金</t>
        </is>
      </c>
      <c r="C74" s="23" t="n">
        <v>621413</v>
      </c>
      <c r="D74" s="23" t="n">
        <v>277570</v>
      </c>
      <c r="E74" s="23" t="n">
        <v>280225</v>
      </c>
      <c r="F74" s="23" t="n">
        <v>277125</v>
      </c>
      <c r="G74" s="23" t="n">
        <v>135790</v>
      </c>
      <c r="H74" s="23" t="n">
        <v>180140</v>
      </c>
      <c r="I74" s="10">
        <f>SUM(C74:H74)</f>
        <v/>
      </c>
    </row>
    <row r="75" ht="13" customHeight="1">
      <c r="A75" s="22" t="inlineStr">
        <is>
          <t>5週目</t>
        </is>
      </c>
      <c r="B75" s="22" t="inlineStr">
        <is>
          <t xml:space="preserve">  売上入金</t>
        </is>
      </c>
      <c r="C75" s="23" t="n">
        <v>298860</v>
      </c>
      <c r="D75" s="23" t="n"/>
      <c r="E75" s="23" t="n"/>
      <c r="F75" s="23" t="n">
        <v>448674</v>
      </c>
      <c r="G75" s="23" t="n"/>
      <c r="H75" s="23" t="n"/>
      <c r="I75" s="10">
        <f>SUM(C75:H75)</f>
        <v/>
      </c>
    </row>
    <row r="76" ht="13" customHeight="1">
      <c r="A76" s="22" t="inlineStr">
        <is>
          <t>15</t>
        </is>
      </c>
      <c r="B76" s="22" t="inlineStr">
        <is>
          <t xml:space="preserve">  ＵＳＥＮ　クレジツト</t>
        </is>
      </c>
      <c r="C76" s="23" t="n">
        <v>285009</v>
      </c>
      <c r="D76" s="23" t="n">
        <v>510355</v>
      </c>
      <c r="E76" s="23" t="n">
        <v>307079</v>
      </c>
      <c r="F76" s="23" t="n">
        <v>291785</v>
      </c>
      <c r="G76" s="23" t="n">
        <v>222829</v>
      </c>
      <c r="H76" s="23" t="n">
        <v>598925</v>
      </c>
      <c r="I76" s="10">
        <f>SUM(C76:H76)</f>
        <v/>
      </c>
    </row>
    <row r="77" ht="13" customHeight="1">
      <c r="A77" s="22" t="inlineStr">
        <is>
          <t>末</t>
        </is>
      </c>
      <c r="B77" s="22" t="inlineStr">
        <is>
          <t xml:space="preserve">  ＵＳＥＮ　クレジツト</t>
        </is>
      </c>
      <c r="C77" s="23" t="n">
        <v>318855</v>
      </c>
      <c r="D77" s="23" t="n">
        <v>880496</v>
      </c>
      <c r="E77" s="23" t="n">
        <v>278623</v>
      </c>
      <c r="F77" s="23" t="n">
        <v>396108</v>
      </c>
      <c r="G77" s="23" t="n">
        <v>269895</v>
      </c>
      <c r="H77" s="23" t="n">
        <v>492819</v>
      </c>
      <c r="I77" s="10">
        <f>SUM(C77:H77)</f>
        <v/>
      </c>
    </row>
    <row r="78" ht="13" customHeight="1">
      <c r="A78" s="22" t="inlineStr">
        <is>
          <t>末</t>
        </is>
      </c>
      <c r="B78" s="22" t="inlineStr">
        <is>
          <t xml:space="preserve">  ＵＳＥＮ　クレジツト</t>
        </is>
      </c>
      <c r="C78" s="23" t="n">
        <v>706269</v>
      </c>
      <c r="D78" s="23" t="n">
        <v>759993</v>
      </c>
      <c r="E78" s="23" t="n">
        <v>916449</v>
      </c>
      <c r="F78" s="23" t="n">
        <v>631095</v>
      </c>
      <c r="G78" s="23" t="n">
        <v>723836</v>
      </c>
      <c r="H78" s="23" t="n">
        <v>155462</v>
      </c>
      <c r="I78" s="10">
        <f>SUM(C78:H78)</f>
        <v/>
      </c>
    </row>
    <row r="79" ht="13" customHeight="1">
      <c r="A79" s="22" t="inlineStr">
        <is>
          <t>13</t>
        </is>
      </c>
      <c r="B79" s="22" t="inlineStr">
        <is>
          <t xml:space="preserve">  その他（羽島商工会議所）</t>
        </is>
      </c>
      <c r="C79" s="23" t="n">
        <v>43200</v>
      </c>
      <c r="D79" s="23" t="n"/>
      <c r="E79" s="23" t="n"/>
      <c r="F79" s="23" t="n"/>
      <c r="G79" s="23" t="n"/>
      <c r="H79" s="23" t="n"/>
      <c r="I79" s="10">
        <f>SUM(C79:H79)</f>
        <v/>
      </c>
    </row>
    <row r="80" ht="13" customHeight="1">
      <c r="A80" s="22" t="inlineStr">
        <is>
          <t>13</t>
        </is>
      </c>
      <c r="B80" s="22" t="inlineStr">
        <is>
          <t xml:space="preserve">  その他（羽島企画）</t>
        </is>
      </c>
      <c r="C80" s="23" t="n"/>
      <c r="D80" s="23" t="n"/>
      <c r="E80" s="23" t="n">
        <v>525000</v>
      </c>
      <c r="F80" s="23" t="n"/>
      <c r="G80" s="23" t="n"/>
      <c r="H80" s="23" t="n"/>
      <c r="I80" s="10">
        <f>SUM(C80:H80)</f>
        <v/>
      </c>
    </row>
    <row r="81" ht="13" customHeight="1">
      <c r="A81" s="22" t="inlineStr">
        <is>
          <t>13</t>
        </is>
      </c>
      <c r="B81" s="22" t="inlineStr">
        <is>
          <t xml:space="preserve">  その他（）</t>
        </is>
      </c>
      <c r="C81" s="23" t="n"/>
      <c r="D81" s="23" t="n"/>
      <c r="E81" s="23" t="n"/>
      <c r="F81" s="23" t="n"/>
      <c r="G81" s="23" t="n"/>
      <c r="H81" s="23" t="n">
        <v>66000</v>
      </c>
      <c r="I81" s="10">
        <f>SUM(C81:H81)</f>
        <v/>
      </c>
    </row>
    <row r="82" ht="13" customHeight="1">
      <c r="A82" s="22" t="inlineStr">
        <is>
          <t>13</t>
        </is>
      </c>
      <c r="B82" s="22" t="inlineStr">
        <is>
          <t xml:space="preserve">  その他（）</t>
        </is>
      </c>
      <c r="C82" s="23" t="n"/>
      <c r="D82" s="23" t="n"/>
      <c r="E82" s="23" t="n"/>
      <c r="F82" s="23" t="n"/>
      <c r="G82" s="23" t="n"/>
      <c r="H82" s="23" t="n">
        <v>48000</v>
      </c>
      <c r="I82" s="10">
        <f>SUM(C82:H82)</f>
        <v/>
      </c>
    </row>
    <row r="83" ht="12" customHeight="1">
      <c r="A83" s="25" t="n"/>
      <c r="B83" s="25" t="n"/>
      <c r="C83" s="26" t="n"/>
      <c r="D83" s="26" t="n"/>
      <c r="E83" s="26" t="n"/>
      <c r="F83" s="26" t="n"/>
      <c r="G83" s="26" t="n"/>
      <c r="H83" s="26" t="n"/>
      <c r="I83" s="13" t="n"/>
    </row>
    <row r="84" ht="15" customHeight="1">
      <c r="A84" s="27" t="n"/>
      <c r="B84" s="28" t="inlineStr">
        <is>
          <t>② 収入合計</t>
        </is>
      </c>
      <c r="C84" s="29">
        <f>C70</f>
        <v/>
      </c>
      <c r="D84" s="29">
        <f>D70</f>
        <v/>
      </c>
      <c r="E84" s="29">
        <f>E70</f>
        <v/>
      </c>
      <c r="F84" s="29">
        <f>F70</f>
        <v/>
      </c>
      <c r="G84" s="29">
        <f>G70</f>
        <v/>
      </c>
      <c r="H84" s="29">
        <f>H70</f>
        <v/>
      </c>
      <c r="I84" s="7">
        <f>I70</f>
        <v/>
      </c>
    </row>
    <row r="86" ht="22" customHeight="1">
      <c r="A86" s="30" t="n"/>
      <c r="B86" s="31" t="inlineStr">
        <is>
          <t>① 経　費</t>
        </is>
      </c>
      <c r="C86" s="32">
        <f>C67</f>
        <v/>
      </c>
      <c r="D86" s="32">
        <f>D67</f>
        <v/>
      </c>
      <c r="E86" s="32">
        <f>E67</f>
        <v/>
      </c>
      <c r="F86" s="32">
        <f>F67</f>
        <v/>
      </c>
      <c r="G86" s="32">
        <f>G67</f>
        <v/>
      </c>
      <c r="H86" s="32">
        <f>H67</f>
        <v/>
      </c>
      <c r="I86" s="32">
        <f>I67</f>
        <v/>
      </c>
    </row>
    <row r="87" ht="22" customHeight="1">
      <c r="A87" s="33" t="n"/>
      <c r="B87" s="34" t="inlineStr">
        <is>
          <t>② 収　入</t>
        </is>
      </c>
      <c r="C87" s="35">
        <f>C84</f>
        <v/>
      </c>
      <c r="D87" s="35">
        <f>D84</f>
        <v/>
      </c>
      <c r="E87" s="35">
        <f>E84</f>
        <v/>
      </c>
      <c r="F87" s="35">
        <f>F84</f>
        <v/>
      </c>
      <c r="G87" s="35">
        <f>G84</f>
        <v/>
      </c>
      <c r="H87" s="35">
        <f>H84</f>
        <v/>
      </c>
      <c r="I87" s="35">
        <f>I84</f>
        <v/>
      </c>
    </row>
    <row r="88" ht="22" customHeight="1">
      <c r="A88" s="36" t="n"/>
      <c r="B88" s="37" t="inlineStr">
        <is>
          <t>③ 収　支  ②－①</t>
        </is>
      </c>
      <c r="C88" s="38">
        <f>C84-C67</f>
        <v/>
      </c>
      <c r="D88" s="38">
        <f>D84-D67</f>
        <v/>
      </c>
      <c r="E88" s="38">
        <f>E84-E67</f>
        <v/>
      </c>
      <c r="F88" s="38">
        <f>F84-F67</f>
        <v/>
      </c>
      <c r="G88" s="38">
        <f>G84-G67</f>
        <v/>
      </c>
      <c r="H88" s="38">
        <f>H84-H67</f>
        <v/>
      </c>
      <c r="I88" s="38">
        <f>I84-I67</f>
        <v/>
      </c>
    </row>
  </sheetData>
  <mergeCells count="3">
    <mergeCell ref="A1:I1"/>
    <mergeCell ref="A3:I3"/>
    <mergeCell ref="A69:I6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K61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⑥ Eats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R8.6月</t>
        </is>
      </c>
      <c r="I2" s="2" t="inlineStr">
        <is>
          <t>下期累計</t>
        </is>
      </c>
      <c r="J2" s="2" t="inlineStr">
        <is>
          <t>上期累計</t>
        </is>
      </c>
      <c r="K2" s="2" t="inlineStr">
        <is>
          <t>通期合計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給与・法定福利・福利</t>
        </is>
      </c>
      <c r="C4" s="6">
        <f>SUM(C5:C7)</f>
        <v/>
      </c>
      <c r="D4" s="6">
        <f>SUM(D5:D7)</f>
        <v/>
      </c>
      <c r="E4" s="6">
        <f>SUM(E5:E7)</f>
        <v/>
      </c>
      <c r="F4" s="6">
        <f>SUM(F5:F7)</f>
        <v/>
      </c>
      <c r="G4" s="6">
        <f>SUM(G5:G7)</f>
        <v/>
      </c>
      <c r="H4" s="6">
        <f>SUM(H5:H7)</f>
        <v/>
      </c>
      <c r="I4" s="7">
        <f>SUM(I5:I7)</f>
        <v/>
      </c>
      <c r="J4" s="39">
        <f>SUM(J5:J7)</f>
        <v/>
      </c>
      <c r="K4" s="40">
        <f>SUM(K5:K7)</f>
        <v/>
      </c>
    </row>
    <row r="5" ht="13" customHeight="1">
      <c r="A5" s="8" t="inlineStr">
        <is>
          <t>15</t>
        </is>
      </c>
      <c r="B5" s="8" t="inlineStr">
        <is>
          <t xml:space="preserve">  業務委託費</t>
        </is>
      </c>
      <c r="C5" s="9" t="n">
        <v>410417</v>
      </c>
      <c r="D5" s="9" t="n">
        <v>456513</v>
      </c>
      <c r="E5" s="9" t="n">
        <v>309931</v>
      </c>
      <c r="F5" s="9" t="n"/>
      <c r="G5" s="9" t="n"/>
      <c r="H5" s="9" t="n"/>
      <c r="I5" s="10">
        <f>SUM(C5:H5)</f>
        <v/>
      </c>
      <c r="J5" s="41">
        <f>'Eats_上期_7-12月'!I9</f>
        <v/>
      </c>
      <c r="K5" s="42">
        <f>I5+J5</f>
        <v/>
      </c>
    </row>
    <row r="6" ht="13" customHeight="1">
      <c r="A6" s="8" t="inlineStr">
        <is>
          <t>末</t>
        </is>
      </c>
      <c r="B6" s="8" t="inlineStr">
        <is>
          <t xml:space="preserve">  業務委託費</t>
        </is>
      </c>
      <c r="C6" s="9" t="n">
        <v>1127270</v>
      </c>
      <c r="D6" s="9" t="n">
        <v>340629</v>
      </c>
      <c r="E6" s="9" t="n">
        <v>216179</v>
      </c>
      <c r="F6" s="9" t="n"/>
      <c r="G6" s="9" t="n"/>
      <c r="H6" s="9" t="n"/>
      <c r="I6" s="10">
        <f>SUM(C6:H6)</f>
        <v/>
      </c>
      <c r="J6" s="41">
        <f>'Eats_上期_7-12月'!I10</f>
        <v/>
      </c>
      <c r="K6" s="42">
        <f>I6+J6</f>
        <v/>
      </c>
    </row>
    <row r="7" ht="12" customHeight="1">
      <c r="A7" s="11" t="n"/>
      <c r="B7" s="11" t="n"/>
      <c r="C7" s="12" t="n"/>
      <c r="D7" s="12" t="n"/>
      <c r="E7" s="12" t="n"/>
      <c r="F7" s="12" t="n"/>
      <c r="G7" s="12" t="n"/>
      <c r="H7" s="12" t="n"/>
      <c r="I7" s="13" t="n"/>
      <c r="J7" s="43" t="n"/>
      <c r="K7" s="44" t="n"/>
    </row>
    <row r="8" ht="14" customHeight="1">
      <c r="A8" s="4" t="n"/>
      <c r="B8" s="5" t="inlineStr">
        <is>
          <t>▶ 光熱費</t>
        </is>
      </c>
      <c r="C8" s="6">
        <f>SUM(C9:C13)</f>
        <v/>
      </c>
      <c r="D8" s="6">
        <f>SUM(D9:D13)</f>
        <v/>
      </c>
      <c r="E8" s="6">
        <f>SUM(E9:E13)</f>
        <v/>
      </c>
      <c r="F8" s="6">
        <f>SUM(F9:F13)</f>
        <v/>
      </c>
      <c r="G8" s="6">
        <f>SUM(G9:G13)</f>
        <v/>
      </c>
      <c r="H8" s="6">
        <f>SUM(H9:H13)</f>
        <v/>
      </c>
      <c r="I8" s="7">
        <f>SUM(I9:I13)</f>
        <v/>
      </c>
      <c r="J8" s="39">
        <f>SUM(J9:J13)</f>
        <v/>
      </c>
      <c r="K8" s="40">
        <f>SUM(K9:K13)</f>
        <v/>
      </c>
    </row>
    <row r="9" ht="13" customHeight="1">
      <c r="A9" s="8" t="inlineStr"/>
      <c r="B9" s="8" t="inlineStr">
        <is>
          <t xml:space="preserve">  電気</t>
        </is>
      </c>
      <c r="C9" s="9" t="n">
        <v>129698</v>
      </c>
      <c r="D9" s="9" t="n">
        <v>121158</v>
      </c>
      <c r="E9" s="9" t="n">
        <v>110510</v>
      </c>
      <c r="F9" s="9" t="n"/>
      <c r="G9" s="9" t="n"/>
      <c r="H9" s="9" t="n"/>
      <c r="I9" s="10">
        <f>SUM(C9:H9)</f>
        <v/>
      </c>
      <c r="J9" s="41">
        <f>'Eats_上期_7-12月'!I15</f>
        <v/>
      </c>
      <c r="K9" s="42">
        <f>I9+J9</f>
        <v/>
      </c>
    </row>
    <row r="10" ht="13" customHeight="1">
      <c r="A10" s="8" t="inlineStr"/>
      <c r="B10" s="8" t="inlineStr">
        <is>
          <t xml:space="preserve">  ガス　空調</t>
        </is>
      </c>
      <c r="C10" s="9" t="n">
        <v>33396</v>
      </c>
      <c r="D10" s="9" t="n">
        <v>51916</v>
      </c>
      <c r="E10" s="9" t="n">
        <v>74027</v>
      </c>
      <c r="F10" s="9" t="n"/>
      <c r="G10" s="9" t="n"/>
      <c r="H10" s="9" t="n"/>
      <c r="I10" s="10">
        <f>SUM(C10:H10)</f>
        <v/>
      </c>
      <c r="J10" s="41">
        <f>'Eats_上期_7-12月'!I16</f>
        <v/>
      </c>
      <c r="K10" s="42">
        <f>I10+J10</f>
        <v/>
      </c>
    </row>
    <row r="11" ht="13" customHeight="1">
      <c r="A11" s="8" t="inlineStr"/>
      <c r="B11" s="8" t="inlineStr">
        <is>
          <t xml:space="preserve">  ガス　厨房</t>
        </is>
      </c>
      <c r="C11" s="9" t="n">
        <v>19534</v>
      </c>
      <c r="D11" s="9" t="n">
        <v>21437</v>
      </c>
      <c r="E11" s="9" t="n">
        <v>22780</v>
      </c>
      <c r="F11" s="9" t="n"/>
      <c r="G11" s="9" t="n"/>
      <c r="H11" s="9" t="n"/>
      <c r="I11" s="10">
        <f>SUM(C11:H11)</f>
        <v/>
      </c>
      <c r="J11" s="41">
        <f>'Eats_上期_7-12月'!I17</f>
        <v/>
      </c>
      <c r="K11" s="42">
        <f>I11+J11</f>
        <v/>
      </c>
    </row>
    <row r="12" ht="13" customHeight="1">
      <c r="A12" s="8" t="inlineStr"/>
      <c r="B12" s="8" t="inlineStr">
        <is>
          <t xml:space="preserve">  水道</t>
        </is>
      </c>
      <c r="C12" s="9" t="n">
        <v>18301</v>
      </c>
      <c r="D12" s="9" t="n"/>
      <c r="E12" s="9" t="n"/>
      <c r="F12" s="9" t="n"/>
      <c r="G12" s="9" t="n"/>
      <c r="H12" s="9" t="n"/>
      <c r="I12" s="10">
        <f>SUM(C12:H12)</f>
        <v/>
      </c>
      <c r="J12" s="41">
        <f>'Eats_上期_7-12月'!I18</f>
        <v/>
      </c>
      <c r="K12" s="42">
        <f>I12+J12</f>
        <v/>
      </c>
    </row>
    <row r="13" ht="1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3" t="n"/>
      <c r="J13" s="43" t="n"/>
      <c r="K13" s="44" t="n"/>
    </row>
    <row r="14" ht="14" customHeight="1">
      <c r="A14" s="4" t="n"/>
      <c r="B14" s="5" t="inlineStr">
        <is>
          <t>▶ 銀行返済</t>
        </is>
      </c>
      <c r="C14" s="6">
        <f>SUM(C15:C17)</f>
        <v/>
      </c>
      <c r="D14" s="6">
        <f>SUM(D15:D17)</f>
        <v/>
      </c>
      <c r="E14" s="6">
        <f>SUM(E15:E17)</f>
        <v/>
      </c>
      <c r="F14" s="6">
        <f>SUM(F15:F17)</f>
        <v/>
      </c>
      <c r="G14" s="6">
        <f>SUM(G15:G17)</f>
        <v/>
      </c>
      <c r="H14" s="6">
        <f>SUM(H15:H17)</f>
        <v/>
      </c>
      <c r="I14" s="7">
        <f>SUM(I15:I17)</f>
        <v/>
      </c>
      <c r="J14" s="39">
        <f>SUM(J15:J17)</f>
        <v/>
      </c>
      <c r="K14" s="40">
        <f>SUM(K15:K17)</f>
        <v/>
      </c>
    </row>
    <row r="15" ht="13" customHeight="1">
      <c r="A15" s="8" t="inlineStr">
        <is>
          <t>25</t>
        </is>
      </c>
      <c r="B15" s="8" t="inlineStr">
        <is>
          <t xml:space="preserve">  岐信　4000万　R7.7～（7回〜9回）</t>
        </is>
      </c>
      <c r="C15" s="9" t="n">
        <v>415473</v>
      </c>
      <c r="D15" s="9" t="n">
        <v>410771</v>
      </c>
      <c r="E15" s="9" t="n">
        <v>414591</v>
      </c>
      <c r="F15" s="9" t="n"/>
      <c r="G15" s="9" t="n"/>
      <c r="H15" s="9" t="n"/>
      <c r="I15" s="10">
        <f>SUM(C15:H15)</f>
        <v/>
      </c>
      <c r="J15" s="41">
        <f>'Eats_上期_7-12月'!I23</f>
        <v/>
      </c>
      <c r="K15" s="42">
        <f>I15+J15</f>
        <v/>
      </c>
    </row>
    <row r="16" ht="13" customHeight="1">
      <c r="A16" s="8" t="inlineStr"/>
      <c r="B16" s="8" t="inlineStr">
        <is>
          <t xml:space="preserve">  3000万　商工中金</t>
        </is>
      </c>
      <c r="C16" s="9" t="n">
        <v>511642</v>
      </c>
      <c r="D16" s="9" t="n">
        <v>509700</v>
      </c>
      <c r="E16" s="9" t="n">
        <v>512374</v>
      </c>
      <c r="F16" s="9" t="n"/>
      <c r="G16" s="9" t="n"/>
      <c r="H16" s="9" t="n"/>
      <c r="I16" s="10">
        <f>SUM(C16:H16)</f>
        <v/>
      </c>
      <c r="J16" s="41">
        <f>'Eats_上期_7-12月'!I21</f>
        <v/>
      </c>
      <c r="K16" s="42">
        <f>I16+J16</f>
        <v/>
      </c>
    </row>
    <row r="17" ht="1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3" t="n"/>
      <c r="J17" s="43" t="n"/>
      <c r="K17" s="44" t="n"/>
    </row>
    <row r="18" ht="14" customHeight="1">
      <c r="A18" s="4" t="n"/>
      <c r="B18" s="5" t="inlineStr">
        <is>
          <t>▶ 食材仕入れ</t>
        </is>
      </c>
      <c r="C18" s="6">
        <f>SUM(C19:C28)</f>
        <v/>
      </c>
      <c r="D18" s="6">
        <f>SUM(D19:D28)</f>
        <v/>
      </c>
      <c r="E18" s="6">
        <f>SUM(E19:E28)</f>
        <v/>
      </c>
      <c r="F18" s="6">
        <f>SUM(F19:F28)</f>
        <v/>
      </c>
      <c r="G18" s="6">
        <f>SUM(G19:G28)</f>
        <v/>
      </c>
      <c r="H18" s="6">
        <f>SUM(H19:H28)</f>
        <v/>
      </c>
      <c r="I18" s="7">
        <f>SUM(I19:I28)</f>
        <v/>
      </c>
      <c r="J18" s="39">
        <f>SUM(J19:J28)</f>
        <v/>
      </c>
      <c r="K18" s="40">
        <f>SUM(K19:K28)</f>
        <v/>
      </c>
    </row>
    <row r="19" ht="13" customHeight="1">
      <c r="A19" s="8" t="inlineStr">
        <is>
          <t>末</t>
        </is>
      </c>
      <c r="B19" s="8" t="inlineStr">
        <is>
          <t xml:space="preserve">  浅野　純也　仕入</t>
        </is>
      </c>
      <c r="C19" s="9" t="n">
        <v>20658</v>
      </c>
      <c r="D19" s="9" t="n">
        <v>24325</v>
      </c>
      <c r="E19" s="9" t="n">
        <v>22952</v>
      </c>
      <c r="F19" s="9" t="n"/>
      <c r="G19" s="9" t="n"/>
      <c r="H19" s="9" t="n"/>
      <c r="I19" s="10">
        <f>SUM(C19:H19)</f>
        <v/>
      </c>
      <c r="J19" s="41">
        <f>'Eats_上期_7-12月'!I34</f>
        <v/>
      </c>
      <c r="K19" s="42">
        <f>I19+J19</f>
        <v/>
      </c>
    </row>
    <row r="20" ht="13" customHeight="1">
      <c r="A20" s="8" t="inlineStr"/>
      <c r="B20" s="8" t="inlineStr">
        <is>
          <t xml:space="preserve">  大光</t>
        </is>
      </c>
      <c r="C20" s="9" t="n">
        <v>39506</v>
      </c>
      <c r="D20" s="9" t="n">
        <v>25579</v>
      </c>
      <c r="E20" s="9" t="n">
        <v>22998</v>
      </c>
      <c r="F20" s="9" t="n"/>
      <c r="G20" s="9" t="n"/>
      <c r="H20" s="9" t="n"/>
      <c r="I20" s="10">
        <f>SUM(C20:H20)</f>
        <v/>
      </c>
      <c r="J20" s="41">
        <f>'Eats_上期_7-12月'!I26</f>
        <v/>
      </c>
      <c r="K20" s="42">
        <f>I20+J20</f>
        <v/>
      </c>
    </row>
    <row r="21" ht="13" customHeight="1">
      <c r="A21" s="8" t="inlineStr"/>
      <c r="B21" s="8" t="inlineStr">
        <is>
          <t xml:space="preserve">  奥田庄司　商店</t>
        </is>
      </c>
      <c r="C21" s="9" t="n">
        <v>20790</v>
      </c>
      <c r="D21" s="9" t="n">
        <v>41580</v>
      </c>
      <c r="E21" s="9" t="n">
        <v>20790</v>
      </c>
      <c r="F21" s="9" t="n"/>
      <c r="G21" s="9" t="n"/>
      <c r="H21" s="9" t="n"/>
      <c r="I21" s="10">
        <f>SUM(C21:H21)</f>
        <v/>
      </c>
      <c r="J21" s="41">
        <f>'Eats_上期_7-12月'!I31</f>
        <v/>
      </c>
      <c r="K21" s="42">
        <f>I21+J21</f>
        <v/>
      </c>
    </row>
    <row r="22" ht="13" customHeight="1">
      <c r="A22" s="8" t="inlineStr"/>
      <c r="B22" s="8" t="inlineStr">
        <is>
          <t xml:space="preserve">  高瀬物産　仕入</t>
        </is>
      </c>
      <c r="C22" s="9" t="n">
        <v>74429</v>
      </c>
      <c r="D22" s="9" t="n">
        <v>47862</v>
      </c>
      <c r="E22" s="9" t="n">
        <v>52219</v>
      </c>
      <c r="F22" s="9" t="n"/>
      <c r="G22" s="9" t="n"/>
      <c r="H22" s="9" t="n"/>
      <c r="I22" s="10">
        <f>SUM(C22:H22)</f>
        <v/>
      </c>
      <c r="J22" s="41">
        <f>'Eats_上期_7-12月'!I27</f>
        <v/>
      </c>
      <c r="K22" s="42">
        <f>I22+J22</f>
        <v/>
      </c>
    </row>
    <row r="23" ht="13" customHeight="1">
      <c r="A23" s="8" t="inlineStr"/>
      <c r="B23" s="8" t="inlineStr">
        <is>
          <t xml:space="preserve">  名古屋製酪　仕入</t>
        </is>
      </c>
      <c r="C23" s="9" t="n">
        <v>42099</v>
      </c>
      <c r="D23" s="9" t="n">
        <v>35705</v>
      </c>
      <c r="E23" s="9" t="n">
        <v>35292</v>
      </c>
      <c r="F23" s="9" t="n"/>
      <c r="G23" s="9" t="n"/>
      <c r="H23" s="9" t="n"/>
      <c r="I23" s="10">
        <f>SUM(C23:H23)</f>
        <v/>
      </c>
      <c r="J23" s="41">
        <f>'Eats_上期_7-12月'!I28</f>
        <v/>
      </c>
      <c r="K23" s="42">
        <f>I23+J23</f>
        <v/>
      </c>
    </row>
    <row r="24" ht="13" customHeight="1">
      <c r="A24" s="8" t="inlineStr"/>
      <c r="B24" s="8" t="inlineStr">
        <is>
          <t xml:space="preserve">  マルト水谷　仕入</t>
        </is>
      </c>
      <c r="C24" s="9" t="n">
        <v>255491</v>
      </c>
      <c r="D24" s="9" t="n">
        <v>224262</v>
      </c>
      <c r="E24" s="9" t="n">
        <v>198161</v>
      </c>
      <c r="F24" s="9" t="n"/>
      <c r="G24" s="9" t="n"/>
      <c r="H24" s="9" t="n"/>
      <c r="I24" s="10">
        <f>SUM(C24:H24)</f>
        <v/>
      </c>
      <c r="J24" s="41">
        <f>'Eats_上期_7-12月'!I29</f>
        <v/>
      </c>
      <c r="K24" s="42">
        <f>I24+J24</f>
        <v/>
      </c>
    </row>
    <row r="25" ht="13" customHeight="1">
      <c r="A25" s="8" t="inlineStr"/>
      <c r="B25" s="8" t="inlineStr">
        <is>
          <t xml:space="preserve">  丸福商店　仕入</t>
        </is>
      </c>
      <c r="C25" s="9" t="n">
        <v>15914</v>
      </c>
      <c r="D25" s="9" t="n">
        <v>9192</v>
      </c>
      <c r="E25" s="9" t="n">
        <v>9410</v>
      </c>
      <c r="F25" s="9" t="n"/>
      <c r="G25" s="9" t="n"/>
      <c r="H25" s="9" t="n"/>
      <c r="I25" s="10">
        <f>SUM(C25:H25)</f>
        <v/>
      </c>
      <c r="J25" s="41">
        <f>'Eats_上期_7-12月'!I30</f>
        <v/>
      </c>
      <c r="K25" s="42">
        <f>I25+J25</f>
        <v/>
      </c>
    </row>
    <row r="26" ht="13" customHeight="1">
      <c r="A26" s="8" t="inlineStr">
        <is>
          <t>2</t>
        </is>
      </c>
      <c r="B26" s="8" t="inlineStr">
        <is>
          <t xml:space="preserve">  小口　店舗</t>
        </is>
      </c>
      <c r="C26" s="14" t="n">
        <v>250000</v>
      </c>
      <c r="D26" s="14" t="n">
        <v>250000</v>
      </c>
      <c r="E26" s="14" t="n">
        <v>250000</v>
      </c>
      <c r="F26" s="14" t="n"/>
      <c r="G26" s="14" t="n"/>
      <c r="H26" s="14" t="n"/>
      <c r="I26" s="10">
        <f>SUM(C26:H26)</f>
        <v/>
      </c>
      <c r="J26" s="41">
        <f>'Eats_上期_7-12月'!I32</f>
        <v/>
      </c>
      <c r="K26" s="42">
        <f>I26+J26</f>
        <v/>
      </c>
    </row>
    <row r="27" ht="13" customHeight="1">
      <c r="A27" s="8" t="inlineStr"/>
      <c r="B27" s="8" t="inlineStr">
        <is>
          <t xml:space="preserve">  ミカフェート</t>
        </is>
      </c>
      <c r="C27" s="9" t="n"/>
      <c r="D27" s="9" t="n"/>
      <c r="E27" s="9" t="n">
        <v>26760</v>
      </c>
      <c r="F27" s="9" t="n"/>
      <c r="G27" s="9" t="n"/>
      <c r="H27" s="9" t="n"/>
      <c r="I27" s="10">
        <f>SUM(C27:H27)</f>
        <v/>
      </c>
      <c r="J27" s="41">
        <f>'Eats_上期_7-12月'!I36</f>
        <v/>
      </c>
      <c r="K27" s="42">
        <f>I27+J27</f>
        <v/>
      </c>
    </row>
    <row r="28" ht="12" customHeight="1">
      <c r="A28" s="11" t="n"/>
      <c r="B28" s="11" t="n"/>
      <c r="C28" s="12" t="n"/>
      <c r="D28" s="12" t="n"/>
      <c r="E28" s="12" t="n"/>
      <c r="F28" s="12" t="n"/>
      <c r="G28" s="12" t="n"/>
      <c r="H28" s="12" t="n"/>
      <c r="I28" s="13" t="n"/>
      <c r="J28" s="43" t="n"/>
      <c r="K28" s="44" t="n"/>
    </row>
    <row r="29" ht="14" customHeight="1">
      <c r="A29" s="4" t="n"/>
      <c r="B29" s="5" t="inlineStr">
        <is>
          <t>▶ 通信費</t>
        </is>
      </c>
      <c r="C29" s="6">
        <f>SUM(C30:C32)</f>
        <v/>
      </c>
      <c r="D29" s="6">
        <f>SUM(D30:D32)</f>
        <v/>
      </c>
      <c r="E29" s="6">
        <f>SUM(E30:E32)</f>
        <v/>
      </c>
      <c r="F29" s="6">
        <f>SUM(F30:F32)</f>
        <v/>
      </c>
      <c r="G29" s="6">
        <f>SUM(G30:G32)</f>
        <v/>
      </c>
      <c r="H29" s="6">
        <f>SUM(H30:H32)</f>
        <v/>
      </c>
      <c r="I29" s="7">
        <f>SUM(I30:I32)</f>
        <v/>
      </c>
      <c r="J29" s="39">
        <f>SUM(J30:J32)</f>
        <v/>
      </c>
      <c r="K29" s="40">
        <f>SUM(K30:K32)</f>
        <v/>
      </c>
    </row>
    <row r="30" ht="13" customHeight="1">
      <c r="A30" s="8" t="inlineStr"/>
      <c r="B30" s="8" t="inlineStr">
        <is>
          <t xml:space="preserve">  携帯</t>
        </is>
      </c>
      <c r="C30" s="14" t="n">
        <v>2400</v>
      </c>
      <c r="D30" s="14" t="n">
        <v>2400</v>
      </c>
      <c r="E30" s="14" t="n">
        <v>2400</v>
      </c>
      <c r="F30" s="14" t="n"/>
      <c r="G30" s="14" t="n"/>
      <c r="H30" s="14" t="n"/>
      <c r="I30" s="10">
        <f>SUM(C30:H30)</f>
        <v/>
      </c>
      <c r="J30" s="41">
        <f>'Eats_上期_7-12月'!I47</f>
        <v/>
      </c>
      <c r="K30" s="42">
        <f>I30+J30</f>
        <v/>
      </c>
    </row>
    <row r="31" ht="13" customHeight="1">
      <c r="A31" s="8" t="inlineStr"/>
      <c r="B31" s="8" t="inlineStr">
        <is>
          <t xml:space="preserve">  施設利用　通信警備入金機音響サーバー</t>
        </is>
      </c>
      <c r="C31" s="14" t="n">
        <v>69276</v>
      </c>
      <c r="D31" s="14" t="n">
        <v>69276</v>
      </c>
      <c r="E31" s="14" t="n">
        <v>69276</v>
      </c>
      <c r="F31" s="14" t="n"/>
      <c r="G31" s="14" t="n"/>
      <c r="H31" s="14" t="n"/>
      <c r="I31" s="10">
        <f>SUM(C31:H31)</f>
        <v/>
      </c>
      <c r="J31" s="41">
        <f>'Eats_上期_7-12月'!I48</f>
        <v/>
      </c>
      <c r="K31" s="42">
        <f>I31+J31</f>
        <v/>
      </c>
    </row>
    <row r="32" ht="12" customHeight="1">
      <c r="A32" s="11" t="n"/>
      <c r="B32" s="11" t="n"/>
      <c r="C32" s="12" t="n"/>
      <c r="D32" s="12" t="n"/>
      <c r="E32" s="12" t="n"/>
      <c r="F32" s="12" t="n"/>
      <c r="G32" s="12" t="n"/>
      <c r="H32" s="12" t="n"/>
      <c r="I32" s="13" t="n"/>
      <c r="J32" s="43" t="n"/>
      <c r="K32" s="44" t="n"/>
    </row>
    <row r="33" ht="14" customHeight="1">
      <c r="A33" s="4" t="n"/>
      <c r="B33" s="5" t="inlineStr">
        <is>
          <t>▶ 雑費　消耗品　修繕費　その他</t>
        </is>
      </c>
      <c r="C33" s="6">
        <f>SUM(C34:C39)</f>
        <v/>
      </c>
      <c r="D33" s="6">
        <f>SUM(D34:D39)</f>
        <v/>
      </c>
      <c r="E33" s="6">
        <f>SUM(E34:E39)</f>
        <v/>
      </c>
      <c r="F33" s="6">
        <f>SUM(F34:F39)</f>
        <v/>
      </c>
      <c r="G33" s="6">
        <f>SUM(G34:G39)</f>
        <v/>
      </c>
      <c r="H33" s="6">
        <f>SUM(H34:H39)</f>
        <v/>
      </c>
      <c r="I33" s="7">
        <f>SUM(I34:I39)</f>
        <v/>
      </c>
      <c r="J33" s="39">
        <f>SUM(J34:J39)</f>
        <v/>
      </c>
      <c r="K33" s="40">
        <f>SUM(K34:K39)</f>
        <v/>
      </c>
    </row>
    <row r="34" ht="13" customHeight="1">
      <c r="A34" s="8" t="inlineStr"/>
      <c r="B34" s="8" t="inlineStr">
        <is>
          <t xml:space="preserve">  イーコム　ゴミ回収</t>
        </is>
      </c>
      <c r="C34" s="9" t="n">
        <v>31108</v>
      </c>
      <c r="D34" s="9" t="n">
        <v>30624</v>
      </c>
      <c r="E34" s="9" t="n">
        <v>30140</v>
      </c>
      <c r="F34" s="9" t="n"/>
      <c r="G34" s="9" t="n"/>
      <c r="H34" s="9" t="n"/>
      <c r="I34" s="10">
        <f>SUM(C34:H34)</f>
        <v/>
      </c>
      <c r="J34" s="41">
        <f>'Eats_上期_7-12月'!I51</f>
        <v/>
      </c>
      <c r="K34" s="42">
        <f>I34+J34</f>
        <v/>
      </c>
    </row>
    <row r="35" ht="13" customHeight="1">
      <c r="A35" s="8" t="inlineStr"/>
      <c r="B35" s="8" t="inlineStr">
        <is>
          <t xml:space="preserve">  マルト水谷</t>
        </is>
      </c>
      <c r="C35" s="9" t="n">
        <v>8472</v>
      </c>
      <c r="D35" s="9" t="n">
        <v>13320</v>
      </c>
      <c r="E35" s="9" t="n">
        <v>13142</v>
      </c>
      <c r="F35" s="9" t="n"/>
      <c r="G35" s="9" t="n"/>
      <c r="H35" s="9" t="n"/>
      <c r="I35" s="10">
        <f>SUM(C35:H35)</f>
        <v/>
      </c>
      <c r="J35" s="41">
        <f>'Eats_上期_7-12月'!I56</f>
        <v/>
      </c>
      <c r="K35" s="42">
        <f>I35+J35</f>
        <v/>
      </c>
    </row>
    <row r="36" ht="13" customHeight="1">
      <c r="A36" s="8" t="inlineStr"/>
      <c r="B36" s="8" t="inlineStr">
        <is>
          <t xml:space="preserve">  ダスキン未来</t>
        </is>
      </c>
      <c r="C36" s="14" t="n">
        <v>4884</v>
      </c>
      <c r="D36" s="14" t="n">
        <v>4884</v>
      </c>
      <c r="E36" s="14" t="n">
        <v>4884</v>
      </c>
      <c r="F36" s="14" t="n"/>
      <c r="G36" s="14" t="n"/>
      <c r="H36" s="14" t="n"/>
      <c r="I36" s="10">
        <f>SUM(C36:H36)</f>
        <v/>
      </c>
      <c r="J36" s="41">
        <f>'Eats_上期_7-12月'!I53</f>
        <v/>
      </c>
      <c r="K36" s="42">
        <f>I36+J36</f>
        <v/>
      </c>
    </row>
    <row r="37" ht="13" customHeight="1">
      <c r="A37" s="8" t="inlineStr"/>
      <c r="B37" s="8" t="inlineStr">
        <is>
          <t xml:space="preserve">  パスタボイラー</t>
        </is>
      </c>
      <c r="C37" s="14" t="n">
        <v>6900</v>
      </c>
      <c r="D37" s="14" t="n">
        <v>6900</v>
      </c>
      <c r="E37" s="14" t="n">
        <v>6900</v>
      </c>
      <c r="F37" s="14" t="n"/>
      <c r="G37" s="14" t="n"/>
      <c r="H37" s="14" t="n"/>
      <c r="I37" s="10">
        <f>SUM(C37:H37)</f>
        <v/>
      </c>
      <c r="J37" s="41" t="n"/>
      <c r="K37" s="42">
        <f>I37+J37</f>
        <v/>
      </c>
    </row>
    <row r="38" ht="13" customHeight="1">
      <c r="A38" s="8" t="inlineStr"/>
      <c r="B38" s="8" t="inlineStr">
        <is>
          <t xml:space="preserve">  グローバル　粉雪アイスメーカー40回</t>
        </is>
      </c>
      <c r="C38" s="14" t="n">
        <v>55000</v>
      </c>
      <c r="D38" s="14" t="n">
        <v>55000</v>
      </c>
      <c r="E38" s="14" t="n">
        <v>55000</v>
      </c>
      <c r="F38" s="14" t="n"/>
      <c r="G38" s="14" t="n"/>
      <c r="H38" s="14" t="n"/>
      <c r="I38" s="10">
        <f>SUM(C38:H38)</f>
        <v/>
      </c>
      <c r="J38" s="41">
        <f>'Eats_上期_7-12月'!I55</f>
        <v/>
      </c>
      <c r="K38" s="42">
        <f>I38+J38</f>
        <v/>
      </c>
    </row>
    <row r="39" ht="1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3" t="n"/>
      <c r="J39" s="43" t="n"/>
      <c r="K39" s="44" t="n"/>
    </row>
    <row r="40" ht="14" customHeight="1">
      <c r="A40" s="4" t="n"/>
      <c r="B40" s="5" t="inlineStr">
        <is>
          <t>▶ 広告宣伝費</t>
        </is>
      </c>
      <c r="C40" s="6">
        <f>SUM(C41:C42)</f>
        <v/>
      </c>
      <c r="D40" s="6">
        <f>SUM(D41:D42)</f>
        <v/>
      </c>
      <c r="E40" s="6">
        <f>SUM(E41:E42)</f>
        <v/>
      </c>
      <c r="F40" s="6">
        <f>SUM(F41:F42)</f>
        <v/>
      </c>
      <c r="G40" s="6">
        <f>SUM(G41:G42)</f>
        <v/>
      </c>
      <c r="H40" s="6">
        <f>SUM(H41:H42)</f>
        <v/>
      </c>
      <c r="I40" s="7">
        <f>SUM(I41:I42)</f>
        <v/>
      </c>
      <c r="J40" s="39">
        <f>SUM(J41:J42)</f>
        <v/>
      </c>
      <c r="K40" s="40">
        <f>SUM(K41:K42)</f>
        <v/>
      </c>
    </row>
    <row r="41" ht="13" customHeight="1">
      <c r="A41" s="8" t="inlineStr"/>
      <c r="B41" s="8" t="inlineStr">
        <is>
          <t xml:space="preserve">  USEN　デジタルサイネージ</t>
        </is>
      </c>
      <c r="C41" s="14" t="n">
        <v>32318</v>
      </c>
      <c r="D41" s="14" t="n">
        <v>32318</v>
      </c>
      <c r="E41" s="14" t="n">
        <v>32318</v>
      </c>
      <c r="F41" s="14" t="n"/>
      <c r="G41" s="14" t="n"/>
      <c r="H41" s="14" t="n"/>
      <c r="I41" s="10">
        <f>SUM(C41:H41)</f>
        <v/>
      </c>
      <c r="J41" s="41">
        <f>'Eats_上期_7-12月'!I64</f>
        <v/>
      </c>
      <c r="K41" s="42">
        <f>I41+J41</f>
        <v/>
      </c>
    </row>
    <row r="42" ht="12" customHeight="1">
      <c r="A42" s="11" t="n"/>
      <c r="B42" s="11" t="n"/>
      <c r="C42" s="12" t="n"/>
      <c r="D42" s="12" t="n"/>
      <c r="E42" s="12" t="n"/>
      <c r="F42" s="12" t="n"/>
      <c r="G42" s="12" t="n"/>
      <c r="H42" s="12" t="n"/>
      <c r="I42" s="13" t="n"/>
      <c r="J42" s="43" t="n"/>
      <c r="K42" s="44" t="n"/>
    </row>
    <row r="43" ht="15" customHeight="1">
      <c r="A43" s="15" t="n"/>
      <c r="B43" s="16" t="inlineStr">
        <is>
          <t>① 支出合計</t>
        </is>
      </c>
      <c r="C43" s="17">
        <f>C4+C8+C14+C18+C29+C33+C40</f>
        <v/>
      </c>
      <c r="D43" s="17">
        <f>D4+D8+D14+D18+D29+D33+D40</f>
        <v/>
      </c>
      <c r="E43" s="17">
        <f>E4+E8+E14+E18+E29+E33+E40</f>
        <v/>
      </c>
      <c r="F43" s="17">
        <f>F4+F8+F14+F18+F29+F33+F40</f>
        <v/>
      </c>
      <c r="G43" s="17">
        <f>G4+G8+G14+G18+G29+G33+G40</f>
        <v/>
      </c>
      <c r="H43" s="17">
        <f>H4+H8+H14+H18+H29+H33+H40</f>
        <v/>
      </c>
      <c r="I43" s="7">
        <f>I4+I8+I14+I18+I29+I33+I40</f>
        <v/>
      </c>
      <c r="J43" s="39">
        <f>J4+J8+J14+J18+J29+J33+J40</f>
        <v/>
      </c>
      <c r="K43" s="40">
        <f>K4+K8+K14+K18+K29+K33+K40</f>
        <v/>
      </c>
    </row>
    <row r="45" ht="16" customHeight="1">
      <c r="A45" s="18" t="inlineStr">
        <is>
          <t>【 ② 収　入（売上・粗利・雑収入など） 】</t>
        </is>
      </c>
    </row>
    <row r="46" ht="14" customHeight="1">
      <c r="A46" s="19" t="n"/>
      <c r="B46" s="20" t="inlineStr">
        <is>
          <t>▶ 収入・支出項目</t>
        </is>
      </c>
      <c r="C46" s="21">
        <f>SUM(C47:C56)</f>
        <v/>
      </c>
      <c r="D46" s="21">
        <f>SUM(D47:D56)</f>
        <v/>
      </c>
      <c r="E46" s="21">
        <f>SUM(E47:E56)</f>
        <v/>
      </c>
      <c r="F46" s="21">
        <f>SUM(F47:F56)</f>
        <v/>
      </c>
      <c r="G46" s="21">
        <f>SUM(G47:G56)</f>
        <v/>
      </c>
      <c r="H46" s="21">
        <f>SUM(H47:H56)</f>
        <v/>
      </c>
      <c r="I46" s="7">
        <f>SUM(I47:I56)</f>
        <v/>
      </c>
      <c r="J46" s="39">
        <f>SUM(J47:J56)</f>
        <v/>
      </c>
      <c r="K46" s="40">
        <f>SUM(K47:K56)</f>
        <v/>
      </c>
    </row>
    <row r="47" ht="13" customHeight="1">
      <c r="A47" s="22" t="inlineStr">
        <is>
          <t>1週目</t>
        </is>
      </c>
      <c r="B47" s="22" t="inlineStr">
        <is>
          <t xml:space="preserve">  売上入金</t>
        </is>
      </c>
      <c r="C47" s="23" t="n">
        <v>360841</v>
      </c>
      <c r="D47" s="23" t="n">
        <v>227493</v>
      </c>
      <c r="E47" s="23" t="n">
        <v>116319</v>
      </c>
      <c r="F47" s="23" t="n"/>
      <c r="G47" s="23" t="n"/>
      <c r="H47" s="23" t="n"/>
      <c r="I47" s="10">
        <f>SUM(C47:H47)</f>
        <v/>
      </c>
      <c r="J47" s="41">
        <f>'Eats_上期_7-12月'!I71</f>
        <v/>
      </c>
      <c r="K47" s="42">
        <f>I47+J47</f>
        <v/>
      </c>
    </row>
    <row r="48" ht="13" customHeight="1">
      <c r="A48" s="22" t="inlineStr">
        <is>
          <t>2週目</t>
        </is>
      </c>
      <c r="B48" s="22" t="inlineStr">
        <is>
          <t xml:space="preserve">  売上入金</t>
        </is>
      </c>
      <c r="C48" s="23" t="n">
        <v>120880</v>
      </c>
      <c r="D48" s="23" t="n">
        <v>192111</v>
      </c>
      <c r="E48" s="23" t="n">
        <v>113968</v>
      </c>
      <c r="F48" s="23" t="n"/>
      <c r="G48" s="23" t="n"/>
      <c r="H48" s="23" t="n"/>
      <c r="I48" s="10">
        <f>SUM(C48:H48)</f>
        <v/>
      </c>
      <c r="J48" s="41">
        <f>'Eats_上期_7-12月'!I72</f>
        <v/>
      </c>
      <c r="K48" s="42">
        <f>I48+J48</f>
        <v/>
      </c>
    </row>
    <row r="49" ht="13" customHeight="1">
      <c r="A49" s="22" t="inlineStr">
        <is>
          <t>3週目</t>
        </is>
      </c>
      <c r="B49" s="22" t="inlineStr">
        <is>
          <t xml:space="preserve">  売上入金</t>
        </is>
      </c>
      <c r="C49" s="23" t="n">
        <v>617239</v>
      </c>
      <c r="D49" s="23" t="n">
        <v>318162</v>
      </c>
      <c r="E49" s="23" t="n">
        <v>288185</v>
      </c>
      <c r="F49" s="23" t="n"/>
      <c r="G49" s="23" t="n"/>
      <c r="H49" s="23" t="n"/>
      <c r="I49" s="10">
        <f>SUM(C49:H49)</f>
        <v/>
      </c>
      <c r="J49" s="41">
        <f>'Eats_上期_7-12月'!I73</f>
        <v/>
      </c>
      <c r="K49" s="42">
        <f>I49+J49</f>
        <v/>
      </c>
    </row>
    <row r="50" ht="13" customHeight="1">
      <c r="A50" s="22" t="inlineStr">
        <is>
          <t>4週目</t>
        </is>
      </c>
      <c r="B50" s="22" t="inlineStr">
        <is>
          <t xml:space="preserve">  売上入金</t>
        </is>
      </c>
      <c r="C50" s="23" t="n">
        <v>516567</v>
      </c>
      <c r="D50" s="23" t="n">
        <v>292760</v>
      </c>
      <c r="E50" s="23" t="n">
        <v>254696</v>
      </c>
      <c r="F50" s="23" t="n"/>
      <c r="G50" s="23" t="n"/>
      <c r="H50" s="23" t="n"/>
      <c r="I50" s="10">
        <f>SUM(C50:H50)</f>
        <v/>
      </c>
      <c r="J50" s="41">
        <f>'Eats_上期_7-12月'!I74</f>
        <v/>
      </c>
      <c r="K50" s="42">
        <f>I50+J50</f>
        <v/>
      </c>
    </row>
    <row r="51" ht="13" customHeight="1">
      <c r="A51" s="22" t="inlineStr">
        <is>
          <t>5週目</t>
        </is>
      </c>
      <c r="B51" s="22" t="inlineStr">
        <is>
          <t xml:space="preserve">  売上入金</t>
        </is>
      </c>
      <c r="C51" s="23" t="n">
        <v>125455</v>
      </c>
      <c r="D51" s="23" t="n"/>
      <c r="E51" s="23" t="n"/>
      <c r="F51" s="23" t="n"/>
      <c r="G51" s="23" t="n"/>
      <c r="H51" s="23" t="n"/>
      <c r="I51" s="10">
        <f>SUM(C51:H51)</f>
        <v/>
      </c>
      <c r="J51" s="41">
        <f>'Eats_上期_7-12月'!I75</f>
        <v/>
      </c>
      <c r="K51" s="42">
        <f>I51+J51</f>
        <v/>
      </c>
    </row>
    <row r="52" ht="13" customHeight="1">
      <c r="A52" s="22" t="inlineStr">
        <is>
          <t>15</t>
        </is>
      </c>
      <c r="B52" s="22" t="inlineStr">
        <is>
          <t xml:space="preserve">  ＵＳＥＮ　クレジツト</t>
        </is>
      </c>
      <c r="C52" s="23" t="n">
        <v>688229</v>
      </c>
      <c r="D52" s="23" t="n">
        <v>119779</v>
      </c>
      <c r="E52" s="23" t="n">
        <v>151187</v>
      </c>
      <c r="F52" s="23" t="n"/>
      <c r="G52" s="23" t="n"/>
      <c r="H52" s="23" t="n"/>
      <c r="I52" s="10">
        <f>SUM(C52:H52)</f>
        <v/>
      </c>
      <c r="J52" s="41">
        <f>'Eats_上期_7-12月'!I76</f>
        <v/>
      </c>
      <c r="K52" s="42">
        <f>I52+J52</f>
        <v/>
      </c>
    </row>
    <row r="53" ht="13" customHeight="1">
      <c r="A53" s="22" t="inlineStr">
        <is>
          <t>末</t>
        </is>
      </c>
      <c r="B53" s="22" t="inlineStr">
        <is>
          <t xml:space="preserve">  ＵＳＥＮ　クレジツト</t>
        </is>
      </c>
      <c r="C53" s="23" t="n">
        <v>121964</v>
      </c>
      <c r="D53" s="23" t="n">
        <v>231618</v>
      </c>
      <c r="E53" s="23" t="n">
        <v>204157</v>
      </c>
      <c r="F53" s="23" t="n"/>
      <c r="G53" s="23" t="n"/>
      <c r="H53" s="23" t="n"/>
      <c r="I53" s="10">
        <f>SUM(C53:H53)</f>
        <v/>
      </c>
      <c r="J53" s="41">
        <f>'Eats_上期_7-12月'!I77</f>
        <v/>
      </c>
      <c r="K53" s="42">
        <f>I53+J53</f>
        <v/>
      </c>
    </row>
    <row r="54" ht="13" customHeight="1">
      <c r="A54" s="22" t="inlineStr">
        <is>
          <t>末</t>
        </is>
      </c>
      <c r="B54" s="22" t="inlineStr">
        <is>
          <t xml:space="preserve">  ＵＳＥＮ　クレジツト</t>
        </is>
      </c>
      <c r="C54" s="23" t="n">
        <v>371423</v>
      </c>
      <c r="D54" s="23" t="n">
        <v>395659</v>
      </c>
      <c r="E54" s="23" t="n">
        <v>383660</v>
      </c>
      <c r="F54" s="23" t="n"/>
      <c r="G54" s="23" t="n"/>
      <c r="H54" s="23" t="n"/>
      <c r="I54" s="10">
        <f>SUM(C54:H54)</f>
        <v/>
      </c>
      <c r="J54" s="41">
        <f>'Eats_上期_7-12月'!I78</f>
        <v/>
      </c>
      <c r="K54" s="42">
        <f>I54+J54</f>
        <v/>
      </c>
    </row>
    <row r="55" ht="13" customHeight="1">
      <c r="A55" s="22" t="inlineStr">
        <is>
          <t>13</t>
        </is>
      </c>
      <c r="B55" s="22" t="inlineStr">
        <is>
          <t xml:space="preserve">  その他（）</t>
        </is>
      </c>
      <c r="C55" s="23" t="n"/>
      <c r="D55" s="23" t="n"/>
      <c r="E55" s="23" t="n">
        <v>6000</v>
      </c>
      <c r="F55" s="23" t="n"/>
      <c r="G55" s="23" t="n"/>
      <c r="H55" s="23" t="n"/>
      <c r="I55" s="10">
        <f>SUM(C55:H55)</f>
        <v/>
      </c>
      <c r="J55" s="41">
        <f>'Eats_上期_7-12月'!I81</f>
        <v/>
      </c>
      <c r="K55" s="42">
        <f>I55+J55</f>
        <v/>
      </c>
    </row>
    <row r="56" ht="12" customHeight="1">
      <c r="A56" s="25" t="n"/>
      <c r="B56" s="25" t="n"/>
      <c r="C56" s="26" t="n"/>
      <c r="D56" s="26" t="n"/>
      <c r="E56" s="26" t="n"/>
      <c r="F56" s="26" t="n"/>
      <c r="G56" s="26" t="n"/>
      <c r="H56" s="26" t="n"/>
      <c r="I56" s="13" t="n"/>
      <c r="J56" s="43" t="n"/>
      <c r="K56" s="44" t="n"/>
    </row>
    <row r="57" ht="15" customHeight="1">
      <c r="A57" s="27" t="n"/>
      <c r="B57" s="28" t="inlineStr">
        <is>
          <t>② 収入合計</t>
        </is>
      </c>
      <c r="C57" s="29">
        <f>C46</f>
        <v/>
      </c>
      <c r="D57" s="29">
        <f>D46</f>
        <v/>
      </c>
      <c r="E57" s="29">
        <f>E46</f>
        <v/>
      </c>
      <c r="F57" s="29">
        <f>F46</f>
        <v/>
      </c>
      <c r="G57" s="29">
        <f>G46</f>
        <v/>
      </c>
      <c r="H57" s="29">
        <f>H46</f>
        <v/>
      </c>
      <c r="I57" s="7">
        <f>I46</f>
        <v/>
      </c>
      <c r="J57" s="39">
        <f>J46</f>
        <v/>
      </c>
      <c r="K57" s="40">
        <f>K46</f>
        <v/>
      </c>
    </row>
    <row r="59" ht="22" customHeight="1">
      <c r="A59" s="30" t="n"/>
      <c r="B59" s="31" t="inlineStr">
        <is>
          <t>① 経　費</t>
        </is>
      </c>
      <c r="C59" s="32">
        <f>C43</f>
        <v/>
      </c>
      <c r="D59" s="32">
        <f>D43</f>
        <v/>
      </c>
      <c r="E59" s="32">
        <f>E43</f>
        <v/>
      </c>
      <c r="F59" s="32">
        <f>F43</f>
        <v/>
      </c>
      <c r="G59" s="32">
        <f>G43</f>
        <v/>
      </c>
      <c r="H59" s="32">
        <f>H43</f>
        <v/>
      </c>
      <c r="I59" s="32">
        <f>I43</f>
        <v/>
      </c>
      <c r="J59" s="32">
        <f>J43</f>
        <v/>
      </c>
      <c r="K59" s="32">
        <f>K43</f>
        <v/>
      </c>
    </row>
    <row r="60" ht="22" customHeight="1">
      <c r="A60" s="33" t="n"/>
      <c r="B60" s="34" t="inlineStr">
        <is>
          <t>② 収　入</t>
        </is>
      </c>
      <c r="C60" s="35">
        <f>C57</f>
        <v/>
      </c>
      <c r="D60" s="35">
        <f>D57</f>
        <v/>
      </c>
      <c r="E60" s="35">
        <f>E57</f>
        <v/>
      </c>
      <c r="F60" s="35">
        <f>F57</f>
        <v/>
      </c>
      <c r="G60" s="35">
        <f>G57</f>
        <v/>
      </c>
      <c r="H60" s="35">
        <f>H57</f>
        <v/>
      </c>
      <c r="I60" s="35">
        <f>I57</f>
        <v/>
      </c>
      <c r="J60" s="35">
        <f>J57</f>
        <v/>
      </c>
      <c r="K60" s="35">
        <f>K57</f>
        <v/>
      </c>
    </row>
    <row r="61" ht="22" customHeight="1">
      <c r="A61" s="36" t="n"/>
      <c r="B61" s="37" t="inlineStr">
        <is>
          <t>③ 収　支  ②－①</t>
        </is>
      </c>
      <c r="C61" s="38">
        <f>C57-C43</f>
        <v/>
      </c>
      <c r="D61" s="38">
        <f>D57-D43</f>
        <v/>
      </c>
      <c r="E61" s="38">
        <f>E57-E43</f>
        <v/>
      </c>
      <c r="F61" s="38">
        <f>F57-F43</f>
        <v/>
      </c>
      <c r="G61" s="38">
        <f>G57-G43</f>
        <v/>
      </c>
      <c r="H61" s="38">
        <f>H57-H43</f>
        <v/>
      </c>
      <c r="I61" s="38">
        <f>I57-I43</f>
        <v/>
      </c>
      <c r="J61" s="38">
        <f>J57-J43</f>
        <v/>
      </c>
      <c r="K61" s="38">
        <f>K57-K43</f>
        <v/>
      </c>
    </row>
  </sheetData>
  <mergeCells count="3">
    <mergeCell ref="A45:K45"/>
    <mergeCell ref="A1:K1"/>
    <mergeCell ref="A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79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⑦ サイクルEV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給与・法定福利・福利</t>
        </is>
      </c>
      <c r="C4" s="6">
        <f>SUM(C5:C10)</f>
        <v/>
      </c>
      <c r="D4" s="6">
        <f>SUM(D5:D10)</f>
        <v/>
      </c>
      <c r="E4" s="6">
        <f>SUM(E5:E10)</f>
        <v/>
      </c>
      <c r="F4" s="6">
        <f>SUM(F5:F10)</f>
        <v/>
      </c>
      <c r="G4" s="6">
        <f>SUM(G5:G10)</f>
        <v/>
      </c>
      <c r="H4" s="6">
        <f>SUM(H5:H10)</f>
        <v/>
      </c>
      <c r="I4" s="7">
        <f>SUM(I5:I10)</f>
        <v/>
      </c>
    </row>
    <row r="5" ht="13" customHeight="1">
      <c r="A5" s="8" t="inlineStr">
        <is>
          <t>20</t>
        </is>
      </c>
      <c r="B5" s="8" t="inlineStr">
        <is>
          <t xml:space="preserve">  給与支給　社員　（成田AJで支払）</t>
        </is>
      </c>
      <c r="C5" s="9" t="n">
        <v>421119</v>
      </c>
      <c r="D5" s="9" t="n">
        <v>431973</v>
      </c>
      <c r="E5" s="9" t="n">
        <v>421747</v>
      </c>
      <c r="F5" s="9" t="n">
        <v>421119</v>
      </c>
      <c r="G5" s="9" t="n">
        <v>431659</v>
      </c>
      <c r="H5" s="9" t="n">
        <v>421747</v>
      </c>
      <c r="I5" s="10">
        <f>SUM(C5:H5)</f>
        <v/>
      </c>
    </row>
    <row r="6" ht="13" customHeight="1">
      <c r="A6" s="8" t="inlineStr">
        <is>
          <t>20</t>
        </is>
      </c>
      <c r="B6" s="8" t="inlineStr">
        <is>
          <t xml:space="preserve">  給与支給　PA</t>
        </is>
      </c>
      <c r="C6" s="9" t="n">
        <v>186409</v>
      </c>
      <c r="D6" s="9" t="n">
        <v>231279</v>
      </c>
      <c r="E6" s="9" t="n">
        <v>223704</v>
      </c>
      <c r="F6" s="9" t="n">
        <v>174660</v>
      </c>
      <c r="G6" s="9" t="n">
        <v>248283</v>
      </c>
      <c r="H6" s="9" t="n">
        <v>195052</v>
      </c>
      <c r="I6" s="10">
        <f>SUM(C6:H6)</f>
        <v/>
      </c>
    </row>
    <row r="7" ht="13" customHeight="1">
      <c r="A7" s="8" t="inlineStr">
        <is>
          <t>20</t>
        </is>
      </c>
      <c r="B7" s="8" t="inlineStr">
        <is>
          <t xml:space="preserve">  社会保険　社員　会社負担</t>
        </is>
      </c>
      <c r="C7" s="9" t="n">
        <v>63446</v>
      </c>
      <c r="D7" s="9" t="n">
        <v>63506</v>
      </c>
      <c r="E7" s="9" t="n">
        <v>63450</v>
      </c>
      <c r="F7" s="9" t="n">
        <v>63446</v>
      </c>
      <c r="G7" s="9" t="n">
        <v>63504</v>
      </c>
      <c r="H7" s="9" t="n">
        <v>63450</v>
      </c>
      <c r="I7" s="10">
        <f>SUM(C7:H7)</f>
        <v/>
      </c>
    </row>
    <row r="8" ht="13" customHeight="1">
      <c r="A8" s="8" t="inlineStr">
        <is>
          <t>20</t>
        </is>
      </c>
      <c r="B8" s="8" t="inlineStr">
        <is>
          <t xml:space="preserve">  社会保険　PA　会社負担</t>
        </is>
      </c>
      <c r="C8" s="9" t="n">
        <v>29353</v>
      </c>
      <c r="D8" s="9" t="n">
        <v>29600</v>
      </c>
      <c r="E8" s="9" t="n">
        <v>29558</v>
      </c>
      <c r="F8" s="9" t="n">
        <v>30781</v>
      </c>
      <c r="G8" s="9" t="n">
        <v>31186</v>
      </c>
      <c r="H8" s="9" t="n">
        <v>30893</v>
      </c>
      <c r="I8" s="10">
        <f>SUM(C8:H8)</f>
        <v/>
      </c>
    </row>
    <row r="9" ht="13" customHeight="1">
      <c r="A9" s="8" t="inlineStr">
        <is>
          <t>末</t>
        </is>
      </c>
      <c r="B9" s="8" t="inlineStr">
        <is>
          <t xml:space="preserve">  杉山氏　交通費（1/3）</t>
        </is>
      </c>
      <c r="C9" s="9" t="n">
        <v>33158</v>
      </c>
      <c r="D9" s="9" t="n"/>
      <c r="E9" s="9" t="n"/>
      <c r="F9" s="9" t="n">
        <v>79580</v>
      </c>
      <c r="G9" s="9" t="n"/>
      <c r="H9" s="9" t="n">
        <v>107252</v>
      </c>
      <c r="I9" s="10">
        <f>SUM(C9:H9)</f>
        <v/>
      </c>
    </row>
    <row r="10" ht="12" customHeight="1">
      <c r="A10" s="11" t="n"/>
      <c r="B10" s="11" t="n"/>
      <c r="C10" s="12" t="n"/>
      <c r="D10" s="12" t="n"/>
      <c r="E10" s="12" t="n"/>
      <c r="F10" s="12" t="n"/>
      <c r="G10" s="12" t="n"/>
      <c r="H10" s="12" t="n"/>
      <c r="I10" s="13" t="n"/>
    </row>
    <row r="11" ht="14" customHeight="1">
      <c r="A11" s="4" t="n"/>
      <c r="B11" s="5" t="inlineStr">
        <is>
          <t>▶ 光熱費</t>
        </is>
      </c>
      <c r="C11" s="6">
        <f>SUM(C12:C16)</f>
        <v/>
      </c>
      <c r="D11" s="6">
        <f>SUM(D12:D16)</f>
        <v/>
      </c>
      <c r="E11" s="6">
        <f>SUM(E12:E16)</f>
        <v/>
      </c>
      <c r="F11" s="6">
        <f>SUM(F12:F16)</f>
        <v/>
      </c>
      <c r="G11" s="6">
        <f>SUM(G12:G16)</f>
        <v/>
      </c>
      <c r="H11" s="6">
        <f>SUM(H12:H16)</f>
        <v/>
      </c>
      <c r="I11" s="7">
        <f>SUM(I12:I16)</f>
        <v/>
      </c>
    </row>
    <row r="12" ht="13" customHeight="1">
      <c r="A12" s="8" t="inlineStr"/>
      <c r="B12" s="8" t="inlineStr">
        <is>
          <t xml:space="preserve">  電気</t>
        </is>
      </c>
      <c r="C12" s="9" t="n">
        <v>22327</v>
      </c>
      <c r="D12" s="9" t="n">
        <v>24787</v>
      </c>
      <c r="E12" s="9" t="n">
        <v>24485</v>
      </c>
      <c r="F12" s="9" t="n">
        <v>19278</v>
      </c>
      <c r="G12" s="9" t="n">
        <v>20001</v>
      </c>
      <c r="H12" s="9" t="n">
        <v>18941</v>
      </c>
      <c r="I12" s="10">
        <f>SUM(C12:H12)</f>
        <v/>
      </c>
    </row>
    <row r="13" ht="13" customHeight="1">
      <c r="A13" s="8" t="inlineStr"/>
      <c r="B13" s="8" t="inlineStr">
        <is>
          <t xml:space="preserve">  ガス　空調</t>
        </is>
      </c>
      <c r="C13" s="9" t="n">
        <v>5575</v>
      </c>
      <c r="D13" s="9" t="n">
        <v>38490</v>
      </c>
      <c r="E13" s="9" t="n">
        <v>67470</v>
      </c>
      <c r="F13" s="9" t="n">
        <v>62438</v>
      </c>
      <c r="G13" s="9" t="n">
        <v>27335</v>
      </c>
      <c r="H13" s="9" t="n">
        <v>3964</v>
      </c>
      <c r="I13" s="10">
        <f>SUM(C13:H13)</f>
        <v/>
      </c>
    </row>
    <row r="14" ht="13" customHeight="1">
      <c r="A14" s="8" t="inlineStr"/>
      <c r="B14" s="8" t="inlineStr">
        <is>
          <t xml:space="preserve">  ガス　給湯</t>
        </is>
      </c>
      <c r="C14" s="9" t="n">
        <v>171</v>
      </c>
      <c r="D14" s="9" t="n">
        <v>67</v>
      </c>
      <c r="E14" s="9" t="n">
        <v>99</v>
      </c>
      <c r="F14" s="9" t="n">
        <v>97</v>
      </c>
      <c r="G14" s="9" t="n"/>
      <c r="H14" s="9" t="n">
        <v>285</v>
      </c>
      <c r="I14" s="10">
        <f>SUM(C14:H14)</f>
        <v/>
      </c>
    </row>
    <row r="15" ht="13" customHeight="1">
      <c r="A15" s="8" t="inlineStr"/>
      <c r="B15" s="8" t="inlineStr">
        <is>
          <t xml:space="preserve">  水道</t>
        </is>
      </c>
      <c r="C15" s="14" t="n"/>
      <c r="D15" s="14" t="n"/>
      <c r="E15" s="14" t="n">
        <v>3366</v>
      </c>
      <c r="F15" s="14" t="n">
        <v>3366</v>
      </c>
      <c r="G15" s="14" t="n">
        <v>3366</v>
      </c>
      <c r="H15" s="14" t="n"/>
      <c r="I15" s="10">
        <f>SUM(C15:H15)</f>
        <v/>
      </c>
    </row>
    <row r="16" ht="12" customHeight="1">
      <c r="A16" s="11" t="n"/>
      <c r="B16" s="11" t="n"/>
      <c r="C16" s="12" t="n"/>
      <c r="D16" s="12" t="n"/>
      <c r="E16" s="12" t="n"/>
      <c r="F16" s="12" t="n"/>
      <c r="G16" s="12" t="n"/>
      <c r="H16" s="12" t="n"/>
      <c r="I16" s="13" t="n"/>
    </row>
    <row r="17" ht="14" customHeight="1">
      <c r="A17" s="4" t="n"/>
      <c r="B17" s="5" t="inlineStr">
        <is>
          <t>▶ 銀行返済</t>
        </is>
      </c>
      <c r="C17" s="6">
        <f>SUM(C18:C21)</f>
        <v/>
      </c>
      <c r="D17" s="6">
        <f>SUM(D18:D21)</f>
        <v/>
      </c>
      <c r="E17" s="6">
        <f>SUM(E18:E21)</f>
        <v/>
      </c>
      <c r="F17" s="6">
        <f>SUM(F18:F21)</f>
        <v/>
      </c>
      <c r="G17" s="6">
        <f>SUM(G18:G21)</f>
        <v/>
      </c>
      <c r="H17" s="6">
        <f>SUM(H18:H21)</f>
        <v/>
      </c>
      <c r="I17" s="7">
        <f>SUM(I18:I21)</f>
        <v/>
      </c>
    </row>
    <row r="18" ht="13" customHeight="1">
      <c r="A18" s="8" t="inlineStr">
        <is>
          <t>20</t>
        </is>
      </c>
      <c r="B18" s="8" t="inlineStr">
        <is>
          <t xml:space="preserve">  BLOCK47　大共6000万</t>
        </is>
      </c>
      <c r="C18" s="14" t="n">
        <v>330000</v>
      </c>
      <c r="D18" s="14" t="n">
        <v>330000</v>
      </c>
      <c r="E18" s="14" t="n">
        <v>330000</v>
      </c>
      <c r="F18" s="14" t="n">
        <v>330000</v>
      </c>
      <c r="G18" s="14" t="n">
        <v>330000</v>
      </c>
      <c r="H18" s="14" t="n">
        <v>330000</v>
      </c>
      <c r="I18" s="10">
        <f>SUM(C18:H18)</f>
        <v/>
      </c>
    </row>
    <row r="19" ht="13" customHeight="1">
      <c r="A19" s="8" t="inlineStr"/>
      <c r="B19" s="8" t="inlineStr">
        <is>
          <t xml:space="preserve">  BLOCK47　十六6000万</t>
        </is>
      </c>
      <c r="C19" s="14" t="n">
        <v>330000</v>
      </c>
      <c r="D19" s="14" t="n">
        <v>330000</v>
      </c>
      <c r="E19" s="14" t="n">
        <v>330000</v>
      </c>
      <c r="F19" s="14" t="n">
        <v>330000</v>
      </c>
      <c r="G19" s="14" t="n">
        <v>330000</v>
      </c>
      <c r="H19" s="14" t="n">
        <v>330000</v>
      </c>
      <c r="I19" s="10">
        <f>SUM(C19:H19)</f>
        <v/>
      </c>
    </row>
    <row r="20" ht="13" customHeight="1">
      <c r="A20" s="8" t="inlineStr"/>
      <c r="B20" s="8" t="inlineStr">
        <is>
          <t xml:space="preserve">  商工中金5千万R17.9迄（61回〜63回）</t>
        </is>
      </c>
      <c r="C20" s="9" t="n"/>
      <c r="D20" s="9" t="n"/>
      <c r="E20" s="9" t="n"/>
      <c r="F20" s="9" t="n">
        <v>313551</v>
      </c>
      <c r="G20" s="9" t="n">
        <v>312192</v>
      </c>
      <c r="H20" s="9" t="n">
        <v>312980</v>
      </c>
      <c r="I20" s="10">
        <f>SUM(C20:H20)</f>
        <v/>
      </c>
    </row>
    <row r="21" ht="1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3" t="n"/>
    </row>
    <row r="22" ht="14" customHeight="1">
      <c r="A22" s="4" t="n"/>
      <c r="B22" s="5" t="inlineStr">
        <is>
          <t>▶ サイクル仕入れ</t>
        </is>
      </c>
      <c r="C22" s="6">
        <f>SUM(C23:C37)</f>
        <v/>
      </c>
      <c r="D22" s="6">
        <f>SUM(D23:D37)</f>
        <v/>
      </c>
      <c r="E22" s="6">
        <f>SUM(E23:E37)</f>
        <v/>
      </c>
      <c r="F22" s="6">
        <f>SUM(F23:F37)</f>
        <v/>
      </c>
      <c r="G22" s="6">
        <f>SUM(G23:G37)</f>
        <v/>
      </c>
      <c r="H22" s="6">
        <f>SUM(H23:H37)</f>
        <v/>
      </c>
      <c r="I22" s="7">
        <f>SUM(I23:I37)</f>
        <v/>
      </c>
    </row>
    <row r="23" ht="13" customHeight="1">
      <c r="A23" s="8" t="inlineStr">
        <is>
          <t>20</t>
        </is>
      </c>
      <c r="B23" s="8" t="inlineStr">
        <is>
          <t xml:space="preserve">  フカヤ　仕入れ</t>
        </is>
      </c>
      <c r="C23" s="9" t="n">
        <v>33292</v>
      </c>
      <c r="D23" s="9" t="n">
        <v>54401</v>
      </c>
      <c r="E23" s="9" t="n">
        <v>39816</v>
      </c>
      <c r="F23" s="9" t="n">
        <v>44106</v>
      </c>
      <c r="G23" s="9" t="n">
        <v>22177</v>
      </c>
      <c r="H23" s="9" t="n">
        <v>63386</v>
      </c>
      <c r="I23" s="10">
        <f>SUM(C23:H23)</f>
        <v/>
      </c>
    </row>
    <row r="24" ht="13" customHeight="1">
      <c r="A24" s="8" t="inlineStr">
        <is>
          <t>31</t>
        </is>
      </c>
      <c r="B24" s="8" t="inlineStr">
        <is>
          <t xml:space="preserve">  なるおか　24回R9.2月迄十六リース</t>
        </is>
      </c>
      <c r="C24" s="14" t="n">
        <v>70070</v>
      </c>
      <c r="D24" s="14" t="n">
        <v>70070</v>
      </c>
      <c r="E24" s="14" t="n">
        <v>70070</v>
      </c>
      <c r="F24" s="14" t="n">
        <v>70070</v>
      </c>
      <c r="G24" s="14" t="n">
        <v>70070</v>
      </c>
      <c r="H24" s="14" t="n">
        <v>70070</v>
      </c>
      <c r="I24" s="10">
        <f>SUM(C24:H24)</f>
        <v/>
      </c>
    </row>
    <row r="25" ht="13" customHeight="1">
      <c r="A25" s="8" t="inlineStr"/>
      <c r="B25" s="8" t="inlineStr">
        <is>
          <t xml:space="preserve">  なるおかサイクル</t>
        </is>
      </c>
      <c r="C25" s="9" t="n">
        <v>114700</v>
      </c>
      <c r="D25" s="9" t="n"/>
      <c r="E25" s="9" t="n">
        <v>21028</v>
      </c>
      <c r="F25" s="9" t="n"/>
      <c r="G25" s="9" t="n"/>
      <c r="H25" s="9" t="n"/>
      <c r="I25" s="10">
        <f>SUM(C25:H25)</f>
        <v/>
      </c>
    </row>
    <row r="26" ht="13" customHeight="1">
      <c r="A26" s="8" t="inlineStr"/>
      <c r="B26" s="8" t="inlineStr">
        <is>
          <t xml:space="preserve">  みずほ東芝リース</t>
        </is>
      </c>
      <c r="C26" s="14" t="n">
        <v>9350</v>
      </c>
      <c r="D26" s="14" t="n">
        <v>9350</v>
      </c>
      <c r="E26" s="14" t="n">
        <v>9350</v>
      </c>
      <c r="F26" s="14" t="n">
        <v>9350</v>
      </c>
      <c r="G26" s="14" t="n">
        <v>9350</v>
      </c>
      <c r="H26" s="14" t="n">
        <v>9350</v>
      </c>
      <c r="I26" s="10">
        <f>SUM(C26:H26)</f>
        <v/>
      </c>
    </row>
    <row r="27" ht="13" customHeight="1">
      <c r="A27" s="8" t="inlineStr"/>
      <c r="B27" s="8" t="inlineStr">
        <is>
          <t xml:space="preserve">  JOYカート　24回R9.4月迄十六リース</t>
        </is>
      </c>
      <c r="C27" s="14" t="n">
        <v>24400</v>
      </c>
      <c r="D27" s="14" t="n">
        <v>24400</v>
      </c>
      <c r="E27" s="14" t="n">
        <v>24400</v>
      </c>
      <c r="F27" s="14" t="n">
        <v>24400</v>
      </c>
      <c r="G27" s="14" t="n">
        <v>24400</v>
      </c>
      <c r="H27" s="14" t="n">
        <v>24400</v>
      </c>
      <c r="I27" s="10">
        <f>SUM(C27:H27)</f>
        <v/>
      </c>
    </row>
    <row r="28" ht="13" customHeight="1">
      <c r="A28" s="8" t="inlineStr">
        <is>
          <t>10</t>
        </is>
      </c>
      <c r="B28" s="8" t="inlineStr">
        <is>
          <t xml:space="preserve">  ダイヤテック　仕入れ</t>
        </is>
      </c>
      <c r="C28" s="9" t="n">
        <v>16980</v>
      </c>
      <c r="D28" s="9" t="n"/>
      <c r="E28" s="9" t="n"/>
      <c r="F28" s="9" t="n"/>
      <c r="G28" s="9" t="n">
        <v>19928</v>
      </c>
      <c r="H28" s="9" t="n">
        <v>11528</v>
      </c>
      <c r="I28" s="10">
        <f>SUM(C28:H28)</f>
        <v/>
      </c>
    </row>
    <row r="29" ht="13" customHeight="1">
      <c r="A29" s="8" t="inlineStr"/>
      <c r="B29" s="8" t="inlineStr">
        <is>
          <t xml:space="preserve">  フタバ商店　仕入れ</t>
        </is>
      </c>
      <c r="C29" s="9" t="n">
        <v>49975</v>
      </c>
      <c r="D29" s="9" t="n"/>
      <c r="E29" s="9" t="n"/>
      <c r="F29" s="9" t="n">
        <v>25132</v>
      </c>
      <c r="G29" s="9" t="n">
        <v>14647</v>
      </c>
      <c r="H29" s="9" t="n"/>
      <c r="I29" s="10">
        <f>SUM(C29:H29)</f>
        <v/>
      </c>
    </row>
    <row r="30" ht="13" customHeight="1">
      <c r="A30" s="8" t="inlineStr"/>
      <c r="B30" s="8" t="inlineStr">
        <is>
          <t xml:space="preserve">  スワロー</t>
        </is>
      </c>
      <c r="C30" s="9" t="n"/>
      <c r="D30" s="9" t="n">
        <v>271960</v>
      </c>
      <c r="E30" s="9" t="n"/>
      <c r="F30" s="9" t="n"/>
      <c r="G30" s="9" t="n">
        <v>152230</v>
      </c>
      <c r="H30" s="9" t="n">
        <v>12620</v>
      </c>
      <c r="I30" s="10">
        <f>SUM(C30:H30)</f>
        <v/>
      </c>
    </row>
    <row r="31" ht="13" customHeight="1">
      <c r="A31" s="8" t="inlineStr"/>
      <c r="B31" s="8" t="inlineStr">
        <is>
          <t xml:space="preserve">  スワロー</t>
        </is>
      </c>
      <c r="C31" s="9" t="n"/>
      <c r="D31" s="9" t="n"/>
      <c r="E31" s="9" t="n"/>
      <c r="F31" s="9" t="n"/>
      <c r="G31" s="9" t="n">
        <v>145280</v>
      </c>
      <c r="H31" s="9" t="n"/>
      <c r="I31" s="10">
        <f>SUM(C31:H31)</f>
        <v/>
      </c>
    </row>
    <row r="32" ht="13" customHeight="1">
      <c r="A32" s="8" t="inlineStr"/>
      <c r="B32" s="8" t="inlineStr">
        <is>
          <t xml:space="preserve">  日本イベント企画</t>
        </is>
      </c>
      <c r="C32" s="9" t="n"/>
      <c r="D32" s="9" t="n"/>
      <c r="E32" s="9" t="n">
        <v>102500</v>
      </c>
      <c r="F32" s="9" t="n"/>
      <c r="G32" s="9" t="n">
        <v>32500</v>
      </c>
      <c r="H32" s="9" t="n"/>
      <c r="I32" s="10">
        <f>SUM(C32:H32)</f>
        <v/>
      </c>
    </row>
    <row r="33" ht="13" customHeight="1">
      <c r="A33" s="8" t="inlineStr"/>
      <c r="B33" s="8" t="inlineStr">
        <is>
          <t xml:space="preserve">  アベントゥライフ</t>
        </is>
      </c>
      <c r="C33" s="9" t="n"/>
      <c r="D33" s="9" t="n"/>
      <c r="E33" s="9" t="n"/>
      <c r="F33" s="9" t="n"/>
      <c r="G33" s="9" t="n">
        <v>29000</v>
      </c>
      <c r="H33" s="9" t="n">
        <v>14500</v>
      </c>
      <c r="I33" s="10">
        <f>SUM(C33:H33)</f>
        <v/>
      </c>
    </row>
    <row r="34" ht="13" customHeight="1">
      <c r="A34" s="8" t="inlineStr"/>
      <c r="B34" s="8" t="inlineStr">
        <is>
          <t xml:space="preserve">  サギサカ</t>
        </is>
      </c>
      <c r="C34" s="9" t="n">
        <v>95370</v>
      </c>
      <c r="D34" s="9" t="n"/>
      <c r="E34" s="9" t="n"/>
      <c r="F34" s="9" t="n"/>
      <c r="G34" s="9" t="n"/>
      <c r="H34" s="9" t="n"/>
      <c r="I34" s="10">
        <f>SUM(C34:H34)</f>
        <v/>
      </c>
    </row>
    <row r="35" ht="13" customHeight="1">
      <c r="A35" s="8" t="inlineStr"/>
      <c r="B35" s="8" t="inlineStr">
        <is>
          <t xml:space="preserve">  ウィズ</t>
        </is>
      </c>
      <c r="C35" s="9" t="n">
        <v>788260</v>
      </c>
      <c r="D35" s="9" t="n"/>
      <c r="E35" s="9" t="n"/>
      <c r="F35" s="9" t="n"/>
      <c r="G35" s="9" t="n"/>
      <c r="H35" s="9" t="n"/>
      <c r="I35" s="10">
        <f>SUM(C35:H35)</f>
        <v/>
      </c>
    </row>
    <row r="36" ht="13" customHeight="1">
      <c r="A36" s="8" t="inlineStr"/>
      <c r="B36" s="8" t="inlineStr">
        <is>
          <t xml:space="preserve">  ウィズ　ドギーバイク</t>
        </is>
      </c>
      <c r="C36" s="9" t="n"/>
      <c r="D36" s="9" t="n"/>
      <c r="E36" s="9" t="n">
        <v>400400</v>
      </c>
      <c r="F36" s="9" t="n"/>
      <c r="G36" s="9" t="n"/>
      <c r="H36" s="9" t="n"/>
      <c r="I36" s="10">
        <f>SUM(C36:H36)</f>
        <v/>
      </c>
    </row>
    <row r="37" ht="1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3" t="n"/>
    </row>
    <row r="38" ht="14" customHeight="1">
      <c r="A38" s="4" t="n"/>
      <c r="B38" s="5" t="inlineStr">
        <is>
          <t>▶ 通信費</t>
        </is>
      </c>
      <c r="C38" s="6">
        <f>SUM(C39:C41)</f>
        <v/>
      </c>
      <c r="D38" s="6">
        <f>SUM(D39:D41)</f>
        <v/>
      </c>
      <c r="E38" s="6">
        <f>SUM(E39:E41)</f>
        <v/>
      </c>
      <c r="F38" s="6">
        <f>SUM(F39:F41)</f>
        <v/>
      </c>
      <c r="G38" s="6">
        <f>SUM(G39:G41)</f>
        <v/>
      </c>
      <c r="H38" s="6">
        <f>SUM(H39:H41)</f>
        <v/>
      </c>
      <c r="I38" s="7">
        <f>SUM(I39:I41)</f>
        <v/>
      </c>
    </row>
    <row r="39" ht="13" customHeight="1">
      <c r="A39" s="8" t="inlineStr"/>
      <c r="B39" s="8" t="inlineStr">
        <is>
          <t xml:space="preserve">  携帯</t>
        </is>
      </c>
      <c r="C39" s="14" t="n">
        <v>4800</v>
      </c>
      <c r="D39" s="14" t="n">
        <v>4800</v>
      </c>
      <c r="E39" s="14" t="n">
        <v>4800</v>
      </c>
      <c r="F39" s="14" t="n">
        <v>4800</v>
      </c>
      <c r="G39" s="14" t="n">
        <v>4800</v>
      </c>
      <c r="H39" s="14" t="n">
        <v>4800</v>
      </c>
      <c r="I39" s="10">
        <f>SUM(C39:H39)</f>
        <v/>
      </c>
    </row>
    <row r="40" ht="13" customHeight="1">
      <c r="A40" s="8" t="inlineStr"/>
      <c r="B40" s="8" t="inlineStr">
        <is>
          <t xml:space="preserve">  施設利用　通信警備入金機音響サーバー</t>
        </is>
      </c>
      <c r="C40" s="14" t="n">
        <v>34638</v>
      </c>
      <c r="D40" s="14" t="n">
        <v>34638</v>
      </c>
      <c r="E40" s="14" t="n">
        <v>34638</v>
      </c>
      <c r="F40" s="14" t="n">
        <v>34638</v>
      </c>
      <c r="G40" s="14" t="n">
        <v>34638</v>
      </c>
      <c r="H40" s="14" t="n">
        <v>34638</v>
      </c>
      <c r="I40" s="10">
        <f>SUM(C40:H40)</f>
        <v/>
      </c>
    </row>
    <row r="41" ht="1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3" t="n"/>
    </row>
    <row r="42" ht="14" customHeight="1">
      <c r="A42" s="4" t="n"/>
      <c r="B42" s="5" t="inlineStr">
        <is>
          <t>▶ 雑費　消耗品　修繕費　その他</t>
        </is>
      </c>
      <c r="C42" s="6">
        <f>SUM(C43:C48)</f>
        <v/>
      </c>
      <c r="D42" s="6">
        <f>SUM(D43:D48)</f>
        <v/>
      </c>
      <c r="E42" s="6">
        <f>SUM(E43:E48)</f>
        <v/>
      </c>
      <c r="F42" s="6">
        <f>SUM(F43:F48)</f>
        <v/>
      </c>
      <c r="G42" s="6">
        <f>SUM(G43:G48)</f>
        <v/>
      </c>
      <c r="H42" s="6">
        <f>SUM(H43:H48)</f>
        <v/>
      </c>
      <c r="I42" s="7">
        <f>SUM(I43:I48)</f>
        <v/>
      </c>
    </row>
    <row r="43" ht="13" customHeight="1">
      <c r="A43" s="8" t="inlineStr"/>
      <c r="B43" s="8" t="inlineStr">
        <is>
          <t xml:space="preserve">  イーコム　ゴミ回収</t>
        </is>
      </c>
      <c r="C43" s="9" t="n">
        <v>11242</v>
      </c>
      <c r="D43" s="9" t="n">
        <v>11726</v>
      </c>
      <c r="E43" s="9" t="n">
        <v>11363</v>
      </c>
      <c r="F43" s="9" t="n">
        <v>31284</v>
      </c>
      <c r="G43" s="9" t="n">
        <v>11726</v>
      </c>
      <c r="H43" s="9" t="n">
        <v>11242</v>
      </c>
      <c r="I43" s="10">
        <f>SUM(C43:H43)</f>
        <v/>
      </c>
    </row>
    <row r="44" ht="13" customHeight="1">
      <c r="A44" s="8" t="inlineStr">
        <is>
          <t>8</t>
        </is>
      </c>
      <c r="B44" s="8" t="inlineStr">
        <is>
          <t xml:space="preserve">  小口</t>
        </is>
      </c>
      <c r="C44" s="14" t="n"/>
      <c r="D44" s="14" t="n">
        <v>50000</v>
      </c>
      <c r="E44" s="14" t="n">
        <v>50000</v>
      </c>
      <c r="F44" s="14" t="n">
        <v>50000</v>
      </c>
      <c r="G44" s="14" t="n"/>
      <c r="H44" s="14" t="n"/>
      <c r="I44" s="10">
        <f>SUM(C44:H44)</f>
        <v/>
      </c>
    </row>
    <row r="45" ht="13" customHeight="1">
      <c r="A45" s="8" t="inlineStr">
        <is>
          <t>22</t>
        </is>
      </c>
      <c r="B45" s="8" t="inlineStr">
        <is>
          <t xml:space="preserve">  小口</t>
        </is>
      </c>
      <c r="C45" s="9" t="n"/>
      <c r="D45" s="9" t="n"/>
      <c r="E45" s="9" t="n"/>
      <c r="F45" s="9" t="n">
        <v>120000</v>
      </c>
      <c r="G45" s="9" t="n"/>
      <c r="H45" s="9" t="n"/>
      <c r="I45" s="10">
        <f>SUM(C45:H45)</f>
        <v/>
      </c>
    </row>
    <row r="46" ht="13" customHeight="1">
      <c r="A46" s="8" t="inlineStr"/>
      <c r="B46" s="8" t="inlineStr">
        <is>
          <t xml:space="preserve">  清芳屋</t>
        </is>
      </c>
      <c r="C46" s="9" t="n">
        <v>1010</v>
      </c>
      <c r="D46" s="9" t="n"/>
      <c r="E46" s="9" t="n"/>
      <c r="F46" s="9" t="n"/>
      <c r="G46" s="9" t="n">
        <v>3250</v>
      </c>
      <c r="H46" s="9" t="n"/>
      <c r="I46" s="10">
        <f>SUM(C46:H46)</f>
        <v/>
      </c>
    </row>
    <row r="47" ht="13" customHeight="1">
      <c r="A47" s="8" t="inlineStr"/>
      <c r="B47" s="8" t="inlineStr">
        <is>
          <t xml:space="preserve">  MonotaRo</t>
        </is>
      </c>
      <c r="C47" s="9" t="n">
        <v>4398</v>
      </c>
      <c r="D47" s="9" t="n"/>
      <c r="E47" s="9" t="n">
        <v>10228</v>
      </c>
      <c r="F47" s="9" t="n"/>
      <c r="G47" s="9" t="n"/>
      <c r="H47" s="9" t="n"/>
      <c r="I47" s="10">
        <f>SUM(C47:H47)</f>
        <v/>
      </c>
    </row>
    <row r="48" ht="12" customHeight="1">
      <c r="A48" s="11" t="n"/>
      <c r="B48" s="11" t="n"/>
      <c r="C48" s="12" t="n"/>
      <c r="D48" s="12" t="n"/>
      <c r="E48" s="12" t="n"/>
      <c r="F48" s="12" t="n"/>
      <c r="G48" s="12" t="n"/>
      <c r="H48" s="12" t="n"/>
      <c r="I48" s="13" t="n"/>
    </row>
    <row r="49" ht="14" customHeight="1">
      <c r="A49" s="4" t="n"/>
      <c r="B49" s="5" t="inlineStr">
        <is>
          <t>▶ 広告宣伝費</t>
        </is>
      </c>
      <c r="C49" s="6">
        <f>SUM(C50:C55)</f>
        <v/>
      </c>
      <c r="D49" s="6">
        <f>SUM(D50:D55)</f>
        <v/>
      </c>
      <c r="E49" s="6">
        <f>SUM(E50:E55)</f>
        <v/>
      </c>
      <c r="F49" s="6">
        <f>SUM(F50:F55)</f>
        <v/>
      </c>
      <c r="G49" s="6">
        <f>SUM(G50:G55)</f>
        <v/>
      </c>
      <c r="H49" s="6">
        <f>SUM(H50:H55)</f>
        <v/>
      </c>
      <c r="I49" s="7">
        <f>SUM(I50:I55)</f>
        <v/>
      </c>
    </row>
    <row r="50" ht="13" customHeight="1">
      <c r="A50" s="8" t="inlineStr"/>
      <c r="B50" s="8" t="inlineStr">
        <is>
          <t xml:space="preserve">  創舎</t>
        </is>
      </c>
      <c r="C50" s="9" t="n"/>
      <c r="D50" s="9" t="n"/>
      <c r="E50" s="9" t="n"/>
      <c r="F50" s="9" t="n">
        <v>44550</v>
      </c>
      <c r="G50" s="9" t="n">
        <v>11000</v>
      </c>
      <c r="H50" s="9" t="n"/>
      <c r="I50" s="10">
        <f>SUM(C50:H50)</f>
        <v/>
      </c>
    </row>
    <row r="51" ht="13" customHeight="1">
      <c r="A51" s="8" t="inlineStr"/>
      <c r="B51" s="8" t="inlineStr">
        <is>
          <t xml:space="preserve">  amu</t>
        </is>
      </c>
      <c r="C51" s="9" t="n"/>
      <c r="D51" s="9" t="n">
        <v>160000</v>
      </c>
      <c r="E51" s="9" t="n"/>
      <c r="F51" s="9" t="n"/>
      <c r="G51" s="9" t="n"/>
      <c r="H51" s="9" t="n"/>
      <c r="I51" s="10">
        <f>SUM(C51:H51)</f>
        <v/>
      </c>
    </row>
    <row r="52" ht="13" customHeight="1">
      <c r="A52" s="8" t="inlineStr">
        <is>
          <t>20</t>
        </is>
      </c>
      <c r="B52" s="8" t="inlineStr">
        <is>
          <t xml:space="preserve">  AMU ゲストライダー</t>
        </is>
      </c>
      <c r="C52" s="9" t="n"/>
      <c r="D52" s="9" t="n"/>
      <c r="E52" s="9" t="n"/>
      <c r="F52" s="9" t="n"/>
      <c r="G52" s="9" t="n">
        <v>160000</v>
      </c>
      <c r="H52" s="9" t="n"/>
      <c r="I52" s="10">
        <f>SUM(C52:H52)</f>
        <v/>
      </c>
    </row>
    <row r="53" ht="13" customHeight="1">
      <c r="A53" s="8" t="inlineStr"/>
      <c r="B53" s="8" t="inlineStr">
        <is>
          <t xml:space="preserve">  もちどめゆかり</t>
        </is>
      </c>
      <c r="C53" s="9" t="n"/>
      <c r="D53" s="9" t="n"/>
      <c r="E53" s="9" t="n"/>
      <c r="F53" s="9" t="n"/>
      <c r="G53" s="9" t="n">
        <v>120000</v>
      </c>
      <c r="H53" s="9" t="n"/>
      <c r="I53" s="10">
        <f>SUM(C53:H53)</f>
        <v/>
      </c>
    </row>
    <row r="54" ht="13" customHeight="1">
      <c r="A54" s="8" t="inlineStr">
        <is>
          <t>20</t>
        </is>
      </c>
      <c r="B54" s="8" t="inlineStr">
        <is>
          <t xml:space="preserve">  ルールド木曽川　7件</t>
        </is>
      </c>
      <c r="C54" s="9" t="n"/>
      <c r="D54" s="9" t="n"/>
      <c r="E54" s="9" t="n"/>
      <c r="F54" s="9" t="n"/>
      <c r="G54" s="9" t="n">
        <v>465880</v>
      </c>
      <c r="H54" s="9" t="n"/>
      <c r="I54" s="10">
        <f>SUM(C54:H54)</f>
        <v/>
      </c>
    </row>
    <row r="55" ht="1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3" t="n"/>
    </row>
    <row r="56" ht="15" customHeight="1">
      <c r="A56" s="15" t="n"/>
      <c r="B56" s="16" t="inlineStr">
        <is>
          <t>① 支出合計</t>
        </is>
      </c>
      <c r="C56" s="17">
        <f>C4+C11+C17+C22+C38+C42+C49</f>
        <v/>
      </c>
      <c r="D56" s="17">
        <f>D4+D11+D17+D22+D38+D42+D49</f>
        <v/>
      </c>
      <c r="E56" s="17">
        <f>E4+E11+E17+E22+E38+E42+E49</f>
        <v/>
      </c>
      <c r="F56" s="17">
        <f>F4+F11+F17+F22+F38+F42+F49</f>
        <v/>
      </c>
      <c r="G56" s="17">
        <f>G4+G11+G17+G22+G38+G42+G49</f>
        <v/>
      </c>
      <c r="H56" s="17">
        <f>H4+H11+H17+H22+H38+H42+H49</f>
        <v/>
      </c>
      <c r="I56" s="7">
        <f>I4+I11+I17+I22+I38+I42+I49</f>
        <v/>
      </c>
    </row>
    <row r="58" ht="16" customHeight="1">
      <c r="A58" s="18" t="inlineStr">
        <is>
          <t>【 ② 収　入（売上・粗利・雑収入など） 】</t>
        </is>
      </c>
    </row>
    <row r="59" ht="14" customHeight="1">
      <c r="A59" s="19" t="n"/>
      <c r="B59" s="20" t="inlineStr">
        <is>
          <t>▶ 収入・支出項目</t>
        </is>
      </c>
      <c r="C59" s="21">
        <f>SUM(C60:C74)</f>
        <v/>
      </c>
      <c r="D59" s="21">
        <f>SUM(D60:D74)</f>
        <v/>
      </c>
      <c r="E59" s="21">
        <f>SUM(E60:E74)</f>
        <v/>
      </c>
      <c r="F59" s="21">
        <f>SUM(F60:F74)</f>
        <v/>
      </c>
      <c r="G59" s="21">
        <f>SUM(G60:G74)</f>
        <v/>
      </c>
      <c r="H59" s="21">
        <f>SUM(H60:H74)</f>
        <v/>
      </c>
      <c r="I59" s="7">
        <f>SUM(I60:I74)</f>
        <v/>
      </c>
    </row>
    <row r="60" ht="13" customHeight="1">
      <c r="A60" s="22" t="inlineStr">
        <is>
          <t>1週目</t>
        </is>
      </c>
      <c r="B60" s="22" t="inlineStr">
        <is>
          <t xml:space="preserve">  売上入金</t>
        </is>
      </c>
      <c r="C60" s="23" t="n">
        <v>50170</v>
      </c>
      <c r="D60" s="23" t="n">
        <v>9124</v>
      </c>
      <c r="E60" s="23" t="n">
        <v>30167</v>
      </c>
      <c r="F60" s="23" t="n">
        <v>34233</v>
      </c>
      <c r="G60" s="23" t="n">
        <v>39242</v>
      </c>
      <c r="H60" s="23" t="n">
        <v>62975</v>
      </c>
      <c r="I60" s="10">
        <f>SUM(C60:H60)</f>
        <v/>
      </c>
    </row>
    <row r="61" ht="13" customHeight="1">
      <c r="A61" s="22" t="inlineStr">
        <is>
          <t>2週目</t>
        </is>
      </c>
      <c r="B61" s="22" t="inlineStr">
        <is>
          <t xml:space="preserve">  売上入金</t>
        </is>
      </c>
      <c r="C61" s="23" t="n">
        <v>13124</v>
      </c>
      <c r="D61" s="23" t="n">
        <v>34940</v>
      </c>
      <c r="E61" s="23" t="n">
        <v>257350</v>
      </c>
      <c r="F61" s="23" t="n">
        <v>213275</v>
      </c>
      <c r="G61" s="23" t="n">
        <v>79810</v>
      </c>
      <c r="H61" s="23" t="n">
        <v>22830</v>
      </c>
      <c r="I61" s="10">
        <f>SUM(C61:H61)</f>
        <v/>
      </c>
    </row>
    <row r="62" ht="13" customHeight="1">
      <c r="A62" s="22" t="inlineStr">
        <is>
          <t>3週目</t>
        </is>
      </c>
      <c r="B62" s="22" t="inlineStr">
        <is>
          <t xml:space="preserve">  売上入金</t>
        </is>
      </c>
      <c r="C62" s="23" t="n">
        <v>25150</v>
      </c>
      <c r="D62" s="23" t="n">
        <v>222048</v>
      </c>
      <c r="E62" s="23" t="n">
        <v>22874</v>
      </c>
      <c r="F62" s="23" t="n">
        <v>393220</v>
      </c>
      <c r="G62" s="23" t="n">
        <v>3700</v>
      </c>
      <c r="H62" s="23" t="n">
        <v>19490</v>
      </c>
      <c r="I62" s="10">
        <f>SUM(C62:H62)</f>
        <v/>
      </c>
    </row>
    <row r="63" ht="13" customHeight="1">
      <c r="A63" s="22" t="inlineStr">
        <is>
          <t>4週目</t>
        </is>
      </c>
      <c r="B63" s="22" t="inlineStr">
        <is>
          <t xml:space="preserve">  売上入金</t>
        </is>
      </c>
      <c r="C63" s="23" t="n">
        <v>119791</v>
      </c>
      <c r="D63" s="23" t="n">
        <v>119932</v>
      </c>
      <c r="E63" s="23" t="n">
        <v>10799</v>
      </c>
      <c r="F63" s="23" t="n">
        <v>53147</v>
      </c>
      <c r="G63" s="23" t="n">
        <v>53079</v>
      </c>
      <c r="H63" s="23" t="n">
        <v>9150</v>
      </c>
      <c r="I63" s="10">
        <f>SUM(C63:H63)</f>
        <v/>
      </c>
    </row>
    <row r="64" ht="13" customHeight="1">
      <c r="A64" s="22" t="inlineStr">
        <is>
          <t>5週目</t>
        </is>
      </c>
      <c r="B64" s="22" t="inlineStr">
        <is>
          <t xml:space="preserve">  売上入金</t>
        </is>
      </c>
      <c r="C64" s="23" t="n">
        <v>8410</v>
      </c>
      <c r="D64" s="23" t="n"/>
      <c r="E64" s="23" t="n"/>
      <c r="F64" s="23" t="n">
        <v>38326</v>
      </c>
      <c r="G64" s="23" t="n"/>
      <c r="H64" s="23" t="n"/>
      <c r="I64" s="10">
        <f>SUM(C64:H64)</f>
        <v/>
      </c>
    </row>
    <row r="65" ht="13" customHeight="1">
      <c r="A65" s="22" t="inlineStr">
        <is>
          <t>25</t>
        </is>
      </c>
      <c r="B65" s="22" t="inlineStr">
        <is>
          <t xml:space="preserve">  STORES予約(クレジット不動）</t>
        </is>
      </c>
      <c r="C65" s="23" t="n">
        <v>12065</v>
      </c>
      <c r="D65" s="23" t="n">
        <v>21276</v>
      </c>
      <c r="E65" s="23" t="n">
        <v>173082</v>
      </c>
      <c r="F65" s="23" t="n">
        <v>295604</v>
      </c>
      <c r="G65" s="23" t="n">
        <v>558419</v>
      </c>
      <c r="H65" s="23" t="n">
        <v>5131</v>
      </c>
      <c r="I65" s="10">
        <f>SUM(C65:H65)</f>
        <v/>
      </c>
    </row>
    <row r="66" ht="13" customHeight="1">
      <c r="A66" s="22" t="inlineStr">
        <is>
          <t>25</t>
        </is>
      </c>
      <c r="B66" s="22" t="inlineStr">
        <is>
          <t xml:space="preserve">  STORES予約(クレジット不動）</t>
        </is>
      </c>
      <c r="C66" s="23" t="n">
        <v>12065</v>
      </c>
      <c r="D66" s="23" t="n"/>
      <c r="E66" s="23" t="n"/>
      <c r="F66" s="23" t="n"/>
      <c r="G66" s="23" t="n"/>
      <c r="H66" s="23" t="n"/>
      <c r="I66" s="10">
        <f>SUM(C66:H66)</f>
        <v/>
      </c>
    </row>
    <row r="67" ht="13" customHeight="1">
      <c r="A67" s="22" t="inlineStr">
        <is>
          <t>20</t>
        </is>
      </c>
      <c r="B67" s="22" t="inlineStr">
        <is>
          <t xml:space="preserve">  ストアーズ　決済(当座へ入金）</t>
        </is>
      </c>
      <c r="C67" s="23" t="n">
        <v>138865</v>
      </c>
      <c r="D67" s="23" t="n">
        <v>752111</v>
      </c>
      <c r="E67" s="23" t="n">
        <v>299661</v>
      </c>
      <c r="F67" s="23" t="n">
        <v>515495</v>
      </c>
      <c r="G67" s="23" t="n">
        <v>199445</v>
      </c>
      <c r="H67" s="23" t="n">
        <v>560997</v>
      </c>
      <c r="I67" s="10">
        <f>SUM(C67:H67)</f>
        <v/>
      </c>
    </row>
    <row r="68" ht="13" customHeight="1">
      <c r="A68" s="22" t="inlineStr">
        <is>
          <t>13</t>
        </is>
      </c>
      <c r="B68" s="22" t="inlineStr">
        <is>
          <t xml:space="preserve">  メルPAY(当座へ入金）</t>
        </is>
      </c>
      <c r="C68" s="23" t="n">
        <v>15550</v>
      </c>
      <c r="D68" s="23" t="n">
        <v>16630</v>
      </c>
      <c r="E68" s="23" t="n">
        <v>8800</v>
      </c>
      <c r="F68" s="23" t="n"/>
      <c r="G68" s="23" t="n">
        <v>68200</v>
      </c>
      <c r="H68" s="23" t="n"/>
      <c r="I68" s="10">
        <f>SUM(C68:H68)</f>
        <v/>
      </c>
    </row>
    <row r="69" ht="13" customHeight="1">
      <c r="A69" s="22" t="inlineStr">
        <is>
          <t>1</t>
        </is>
      </c>
      <c r="B69" s="22" t="inlineStr">
        <is>
          <t xml:space="preserve">  PAYPAY(当座へ入金）</t>
        </is>
      </c>
      <c r="C69" s="23" t="n"/>
      <c r="D69" s="23" t="n"/>
      <c r="E69" s="23" t="n"/>
      <c r="F69" s="23" t="n"/>
      <c r="G69" s="23" t="n">
        <v>2153</v>
      </c>
      <c r="H69" s="23" t="n">
        <v>4305</v>
      </c>
      <c r="I69" s="10">
        <f>SUM(C69:H69)</f>
        <v/>
      </c>
    </row>
    <row r="70" ht="13" customHeight="1">
      <c r="A70" s="22" t="inlineStr">
        <is>
          <t>13</t>
        </is>
      </c>
      <c r="B70" s="22" t="inlineStr">
        <is>
          <t xml:space="preserve">  その他（マツハルテツク）</t>
        </is>
      </c>
      <c r="C70" s="23" t="n">
        <v>484000</v>
      </c>
      <c r="D70" s="23" t="n"/>
      <c r="E70" s="23" t="n"/>
      <c r="F70" s="23" t="n"/>
      <c r="G70" s="23" t="n"/>
      <c r="H70" s="23" t="n"/>
      <c r="I70" s="10">
        <f>SUM(C70:H70)</f>
        <v/>
      </c>
    </row>
    <row r="71" ht="13" customHeight="1">
      <c r="A71" s="22" t="inlineStr">
        <is>
          <t>13</t>
        </is>
      </c>
      <c r="B71" s="22" t="inlineStr">
        <is>
          <t xml:space="preserve">  その他（ストアーズ返金）</t>
        </is>
      </c>
      <c r="C71" s="23" t="n"/>
      <c r="D71" s="23" t="n">
        <v>4950</v>
      </c>
      <c r="E71" s="23" t="n"/>
      <c r="F71" s="23" t="n"/>
      <c r="G71" s="23" t="n"/>
      <c r="H71" s="23" t="n"/>
      <c r="I71" s="10">
        <f>SUM(C71:H71)</f>
        <v/>
      </c>
    </row>
    <row r="72" ht="13" customHeight="1">
      <c r="A72" s="22" t="inlineStr">
        <is>
          <t>13</t>
        </is>
      </c>
      <c r="B72" s="22" t="inlineStr">
        <is>
          <t xml:space="preserve">  その他（一宮商工会議所）</t>
        </is>
      </c>
      <c r="C72" s="23" t="n"/>
      <c r="D72" s="23" t="n"/>
      <c r="E72" s="23" t="n">
        <v>263100</v>
      </c>
      <c r="F72" s="23" t="n"/>
      <c r="G72" s="23" t="n"/>
      <c r="H72" s="23" t="n"/>
      <c r="I72" s="10">
        <f>SUM(C72:H72)</f>
        <v/>
      </c>
    </row>
    <row r="73" ht="13" customHeight="1">
      <c r="A73" s="22" t="inlineStr">
        <is>
          <t>13</t>
        </is>
      </c>
      <c r="B73" s="22" t="inlineStr">
        <is>
          <t xml:space="preserve">  その他（なまず祭）</t>
        </is>
      </c>
      <c r="C73" s="23" t="n"/>
      <c r="D73" s="23" t="n"/>
      <c r="E73" s="23" t="n"/>
      <c r="F73" s="23" t="n"/>
      <c r="G73" s="23" t="n">
        <v>20000</v>
      </c>
      <c r="H73" s="23" t="n"/>
      <c r="I73" s="10">
        <f>SUM(C73:H73)</f>
        <v/>
      </c>
    </row>
    <row r="74" ht="12" customHeight="1">
      <c r="A74" s="25" t="n"/>
      <c r="B74" s="25" t="n"/>
      <c r="C74" s="26" t="n"/>
      <c r="D74" s="26" t="n"/>
      <c r="E74" s="26" t="n"/>
      <c r="F74" s="26" t="n"/>
      <c r="G74" s="26" t="n"/>
      <c r="H74" s="26" t="n"/>
      <c r="I74" s="13" t="n"/>
    </row>
    <row r="75" ht="15" customHeight="1">
      <c r="A75" s="27" t="n"/>
      <c r="B75" s="28" t="inlineStr">
        <is>
          <t>② 収入合計</t>
        </is>
      </c>
      <c r="C75" s="29">
        <f>C59</f>
        <v/>
      </c>
      <c r="D75" s="29">
        <f>D59</f>
        <v/>
      </c>
      <c r="E75" s="29">
        <f>E59</f>
        <v/>
      </c>
      <c r="F75" s="29">
        <f>F59</f>
        <v/>
      </c>
      <c r="G75" s="29">
        <f>G59</f>
        <v/>
      </c>
      <c r="H75" s="29">
        <f>H59</f>
        <v/>
      </c>
      <c r="I75" s="7">
        <f>I59</f>
        <v/>
      </c>
    </row>
    <row r="77" ht="22" customHeight="1">
      <c r="A77" s="30" t="n"/>
      <c r="B77" s="31" t="inlineStr">
        <is>
          <t>① 経　費</t>
        </is>
      </c>
      <c r="C77" s="32">
        <f>C56</f>
        <v/>
      </c>
      <c r="D77" s="32">
        <f>D56</f>
        <v/>
      </c>
      <c r="E77" s="32">
        <f>E56</f>
        <v/>
      </c>
      <c r="F77" s="32">
        <f>F56</f>
        <v/>
      </c>
      <c r="G77" s="32">
        <f>G56</f>
        <v/>
      </c>
      <c r="H77" s="32">
        <f>H56</f>
        <v/>
      </c>
      <c r="I77" s="32">
        <f>I56</f>
        <v/>
      </c>
    </row>
    <row r="78" ht="22" customHeight="1">
      <c r="A78" s="33" t="n"/>
      <c r="B78" s="34" t="inlineStr">
        <is>
          <t>② 収　入</t>
        </is>
      </c>
      <c r="C78" s="35">
        <f>C75</f>
        <v/>
      </c>
      <c r="D78" s="35">
        <f>D75</f>
        <v/>
      </c>
      <c r="E78" s="35">
        <f>E75</f>
        <v/>
      </c>
      <c r="F78" s="35">
        <f>F75</f>
        <v/>
      </c>
      <c r="G78" s="35">
        <f>G75</f>
        <v/>
      </c>
      <c r="H78" s="35">
        <f>H75</f>
        <v/>
      </c>
      <c r="I78" s="35">
        <f>I75</f>
        <v/>
      </c>
    </row>
    <row r="79" ht="22" customHeight="1">
      <c r="A79" s="36" t="n"/>
      <c r="B79" s="37" t="inlineStr">
        <is>
          <t>③ 収　支  ②－①</t>
        </is>
      </c>
      <c r="C79" s="38">
        <f>C75-C56</f>
        <v/>
      </c>
      <c r="D79" s="38">
        <f>D75-D56</f>
        <v/>
      </c>
      <c r="E79" s="38">
        <f>E75-E56</f>
        <v/>
      </c>
      <c r="F79" s="38">
        <f>F75-F56</f>
        <v/>
      </c>
      <c r="G79" s="38">
        <f>G75-G56</f>
        <v/>
      </c>
      <c r="H79" s="38">
        <f>H75-H56</f>
        <v/>
      </c>
      <c r="I79" s="38">
        <f>I75-I56</f>
        <v/>
      </c>
    </row>
  </sheetData>
  <mergeCells count="3">
    <mergeCell ref="A1:I1"/>
    <mergeCell ref="A3:I3"/>
    <mergeCell ref="A58:I5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K61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⑦ サイクルEV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R8.6月</t>
        </is>
      </c>
      <c r="I2" s="2" t="inlineStr">
        <is>
          <t>下期累計</t>
        </is>
      </c>
      <c r="J2" s="2" t="inlineStr">
        <is>
          <t>上期累計</t>
        </is>
      </c>
      <c r="K2" s="2" t="inlineStr">
        <is>
          <t>通期合計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給与・法定福利・福利</t>
        </is>
      </c>
      <c r="C4" s="6">
        <f>SUM(C5:C9)</f>
        <v/>
      </c>
      <c r="D4" s="6">
        <f>SUM(D5:D9)</f>
        <v/>
      </c>
      <c r="E4" s="6">
        <f>SUM(E5:E9)</f>
        <v/>
      </c>
      <c r="F4" s="6">
        <f>SUM(F5:F9)</f>
        <v/>
      </c>
      <c r="G4" s="6">
        <f>SUM(G5:G9)</f>
        <v/>
      </c>
      <c r="H4" s="6">
        <f>SUM(H5:H9)</f>
        <v/>
      </c>
      <c r="I4" s="7">
        <f>SUM(I5:I9)</f>
        <v/>
      </c>
      <c r="J4" s="39">
        <f>SUM(J5:J9)</f>
        <v/>
      </c>
      <c r="K4" s="40">
        <f>SUM(K5:K9)</f>
        <v/>
      </c>
    </row>
    <row r="5" ht="13" customHeight="1">
      <c r="A5" s="8" t="inlineStr">
        <is>
          <t>20</t>
        </is>
      </c>
      <c r="B5" s="8" t="inlineStr">
        <is>
          <t xml:space="preserve">  給与支給　社員　（成田AJで支払）</t>
        </is>
      </c>
      <c r="C5" s="9" t="n">
        <v>421433</v>
      </c>
      <c r="D5" s="9" t="n">
        <v>421433</v>
      </c>
      <c r="E5" s="9" t="n">
        <v>420805</v>
      </c>
      <c r="F5" s="9" t="n"/>
      <c r="G5" s="9" t="n"/>
      <c r="H5" s="9" t="n"/>
      <c r="I5" s="10">
        <f>SUM(C5:H5)</f>
        <v/>
      </c>
      <c r="J5" s="41">
        <f>'サイクルEV_上期_7-12月'!I5</f>
        <v/>
      </c>
      <c r="K5" s="42">
        <f>I5+J5</f>
        <v/>
      </c>
    </row>
    <row r="6" ht="13" customHeight="1">
      <c r="A6" s="8" t="inlineStr">
        <is>
          <t>20</t>
        </is>
      </c>
      <c r="B6" s="8" t="inlineStr">
        <is>
          <t xml:space="preserve">  給与支給　PA</t>
        </is>
      </c>
      <c r="C6" s="9" t="n">
        <v>141550</v>
      </c>
      <c r="D6" s="9" t="n">
        <v>130686</v>
      </c>
      <c r="E6" s="9" t="n">
        <v>122065</v>
      </c>
      <c r="F6" s="9" t="n"/>
      <c r="G6" s="9" t="n"/>
      <c r="H6" s="9" t="n"/>
      <c r="I6" s="10">
        <f>SUM(C6:H6)</f>
        <v/>
      </c>
      <c r="J6" s="41">
        <f>'サイクルEV_上期_7-12月'!I6</f>
        <v/>
      </c>
      <c r="K6" s="42">
        <f>I6+J6</f>
        <v/>
      </c>
    </row>
    <row r="7" ht="13" customHeight="1">
      <c r="A7" s="8" t="inlineStr">
        <is>
          <t>20</t>
        </is>
      </c>
      <c r="B7" s="8" t="inlineStr">
        <is>
          <t xml:space="preserve">  社会保険　社員　会社負担</t>
        </is>
      </c>
      <c r="C7" s="9" t="n">
        <v>63448</v>
      </c>
      <c r="D7" s="9" t="n">
        <v>63448</v>
      </c>
      <c r="E7" s="9" t="n">
        <v>63444</v>
      </c>
      <c r="F7" s="9" t="n"/>
      <c r="G7" s="9" t="n"/>
      <c r="H7" s="9" t="n"/>
      <c r="I7" s="10">
        <f>SUM(C7:H7)</f>
        <v/>
      </c>
      <c r="J7" s="41">
        <f>'サイクルEV_上期_7-12月'!I7</f>
        <v/>
      </c>
      <c r="K7" s="42">
        <f>I7+J7</f>
        <v/>
      </c>
    </row>
    <row r="8" ht="13" customHeight="1">
      <c r="A8" s="8" t="inlineStr">
        <is>
          <t>20</t>
        </is>
      </c>
      <c r="B8" s="8" t="inlineStr">
        <is>
          <t xml:space="preserve">  社会保険　PA　会社負担</t>
        </is>
      </c>
      <c r="C8" s="9" t="n">
        <v>30599</v>
      </c>
      <c r="D8" s="9" t="n">
        <v>30539</v>
      </c>
      <c r="E8" s="9" t="n">
        <v>30491</v>
      </c>
      <c r="F8" s="9" t="n"/>
      <c r="G8" s="9" t="n"/>
      <c r="H8" s="9" t="n"/>
      <c r="I8" s="10">
        <f>SUM(C8:H8)</f>
        <v/>
      </c>
      <c r="J8" s="41">
        <f>'サイクルEV_上期_7-12月'!I8</f>
        <v/>
      </c>
      <c r="K8" s="42">
        <f>I8+J8</f>
        <v/>
      </c>
    </row>
    <row r="9" ht="12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3" t="n"/>
      <c r="J9" s="43" t="n"/>
      <c r="K9" s="44" t="n"/>
    </row>
    <row r="10" ht="14" customHeight="1">
      <c r="A10" s="4" t="n"/>
      <c r="B10" s="5" t="inlineStr">
        <is>
          <t>▶ 光熱費</t>
        </is>
      </c>
      <c r="C10" s="6">
        <f>SUM(C11:C15)</f>
        <v/>
      </c>
      <c r="D10" s="6">
        <f>SUM(D11:D15)</f>
        <v/>
      </c>
      <c r="E10" s="6">
        <f>SUM(E11:E15)</f>
        <v/>
      </c>
      <c r="F10" s="6">
        <f>SUM(F11:F15)</f>
        <v/>
      </c>
      <c r="G10" s="6">
        <f>SUM(G11:G15)</f>
        <v/>
      </c>
      <c r="H10" s="6">
        <f>SUM(H11:H15)</f>
        <v/>
      </c>
      <c r="I10" s="7">
        <f>SUM(I11:I15)</f>
        <v/>
      </c>
      <c r="J10" s="39">
        <f>SUM(J11:J15)</f>
        <v/>
      </c>
      <c r="K10" s="40">
        <f>SUM(K11:K15)</f>
        <v/>
      </c>
    </row>
    <row r="11" ht="13" customHeight="1">
      <c r="A11" s="8" t="inlineStr"/>
      <c r="B11" s="8" t="inlineStr">
        <is>
          <t xml:space="preserve">  電気</t>
        </is>
      </c>
      <c r="C11" s="9" t="n">
        <v>18942</v>
      </c>
      <c r="D11" s="9" t="n">
        <v>17831</v>
      </c>
      <c r="E11" s="9" t="n">
        <v>16361</v>
      </c>
      <c r="F11" s="9" t="n"/>
      <c r="G11" s="9" t="n"/>
      <c r="H11" s="9" t="n"/>
      <c r="I11" s="10">
        <f>SUM(C11:H11)</f>
        <v/>
      </c>
      <c r="J11" s="41">
        <f>'サイクルEV_上期_7-12月'!I12</f>
        <v/>
      </c>
      <c r="K11" s="42">
        <f>I11+J11</f>
        <v/>
      </c>
    </row>
    <row r="12" ht="13" customHeight="1">
      <c r="A12" s="8" t="inlineStr"/>
      <c r="B12" s="8" t="inlineStr">
        <is>
          <t xml:space="preserve">  ガス　空調</t>
        </is>
      </c>
      <c r="C12" s="9" t="n">
        <v>11966</v>
      </c>
      <c r="D12" s="9" t="n">
        <v>28884</v>
      </c>
      <c r="E12" s="9" t="n">
        <v>34370</v>
      </c>
      <c r="F12" s="9" t="n"/>
      <c r="G12" s="9" t="n"/>
      <c r="H12" s="9" t="n"/>
      <c r="I12" s="10">
        <f>SUM(C12:H12)</f>
        <v/>
      </c>
      <c r="J12" s="41">
        <f>'サイクルEV_上期_7-12月'!I13</f>
        <v/>
      </c>
      <c r="K12" s="42">
        <f>I12+J12</f>
        <v/>
      </c>
    </row>
    <row r="13" ht="13" customHeight="1">
      <c r="A13" s="8" t="inlineStr"/>
      <c r="B13" s="8" t="inlineStr">
        <is>
          <t xml:space="preserve">  ガス　給湯</t>
        </is>
      </c>
      <c r="C13" s="9" t="n">
        <v>318</v>
      </c>
      <c r="D13" s="9" t="n">
        <v>328</v>
      </c>
      <c r="E13" s="9" t="n">
        <v>736</v>
      </c>
      <c r="F13" s="9" t="n"/>
      <c r="G13" s="9" t="n"/>
      <c r="H13" s="9" t="n"/>
      <c r="I13" s="10">
        <f>SUM(C13:H13)</f>
        <v/>
      </c>
      <c r="J13" s="41">
        <f>'サイクルEV_上期_7-12月'!I14</f>
        <v/>
      </c>
      <c r="K13" s="42">
        <f>I13+J13</f>
        <v/>
      </c>
    </row>
    <row r="14" ht="13" customHeight="1">
      <c r="A14" s="8" t="inlineStr"/>
      <c r="B14" s="8" t="inlineStr">
        <is>
          <t xml:space="preserve">  水道</t>
        </is>
      </c>
      <c r="C14" s="9" t="n">
        <v>3366</v>
      </c>
      <c r="D14" s="9" t="n"/>
      <c r="E14" s="9" t="n"/>
      <c r="F14" s="9" t="n"/>
      <c r="G14" s="9" t="n"/>
      <c r="H14" s="9" t="n"/>
      <c r="I14" s="10">
        <f>SUM(C14:H14)</f>
        <v/>
      </c>
      <c r="J14" s="41">
        <f>'サイクルEV_上期_7-12月'!I15</f>
        <v/>
      </c>
      <c r="K14" s="42">
        <f>I14+J14</f>
        <v/>
      </c>
    </row>
    <row r="15" ht="1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3" t="n"/>
      <c r="J15" s="43" t="n"/>
      <c r="K15" s="44" t="n"/>
    </row>
    <row r="16" ht="14" customHeight="1">
      <c r="A16" s="4" t="n"/>
      <c r="B16" s="5" t="inlineStr">
        <is>
          <t>▶ 銀行返済</t>
        </is>
      </c>
      <c r="C16" s="6">
        <f>SUM(C17:C20)</f>
        <v/>
      </c>
      <c r="D16" s="6">
        <f>SUM(D17:D20)</f>
        <v/>
      </c>
      <c r="E16" s="6">
        <f>SUM(E17:E20)</f>
        <v/>
      </c>
      <c r="F16" s="6">
        <f>SUM(F17:F20)</f>
        <v/>
      </c>
      <c r="G16" s="6">
        <f>SUM(G17:G20)</f>
        <v/>
      </c>
      <c r="H16" s="6">
        <f>SUM(H17:H20)</f>
        <v/>
      </c>
      <c r="I16" s="7">
        <f>SUM(I17:I20)</f>
        <v/>
      </c>
      <c r="J16" s="39">
        <f>SUM(J17:J20)</f>
        <v/>
      </c>
      <c r="K16" s="40">
        <f>SUM(K17:K20)</f>
        <v/>
      </c>
    </row>
    <row r="17" ht="13" customHeight="1">
      <c r="A17" s="8" t="inlineStr">
        <is>
          <t>20</t>
        </is>
      </c>
      <c r="B17" s="8" t="inlineStr">
        <is>
          <t xml:space="preserve">  BLOCK47　大共6000万</t>
        </is>
      </c>
      <c r="C17" s="14" t="n">
        <v>330000</v>
      </c>
      <c r="D17" s="14" t="n">
        <v>330000</v>
      </c>
      <c r="E17" s="14" t="n">
        <v>330000</v>
      </c>
      <c r="F17" s="14" t="n"/>
      <c r="G17" s="14" t="n"/>
      <c r="H17" s="14" t="n"/>
      <c r="I17" s="10">
        <f>SUM(C17:H17)</f>
        <v/>
      </c>
      <c r="J17" s="41">
        <f>'サイクルEV_上期_7-12月'!I18</f>
        <v/>
      </c>
      <c r="K17" s="42">
        <f>I17+J17</f>
        <v/>
      </c>
    </row>
    <row r="18" ht="13" customHeight="1">
      <c r="A18" s="8" t="inlineStr"/>
      <c r="B18" s="8" t="inlineStr">
        <is>
          <t xml:space="preserve">  BLOCK47　十六6000万</t>
        </is>
      </c>
      <c r="C18" s="14" t="n">
        <v>330000</v>
      </c>
      <c r="D18" s="14" t="n">
        <v>330000</v>
      </c>
      <c r="E18" s="14" t="n">
        <v>330000</v>
      </c>
      <c r="F18" s="14" t="n"/>
      <c r="G18" s="14" t="n"/>
      <c r="H18" s="14" t="n"/>
      <c r="I18" s="10">
        <f>SUM(C18:H18)</f>
        <v/>
      </c>
      <c r="J18" s="41">
        <f>'サイクルEV_上期_7-12月'!I19</f>
        <v/>
      </c>
      <c r="K18" s="42">
        <f>I18+J18</f>
        <v/>
      </c>
    </row>
    <row r="19" ht="13" customHeight="1">
      <c r="A19" s="8" t="inlineStr"/>
      <c r="B19" s="8" t="inlineStr">
        <is>
          <t xml:space="preserve">  商工中金5千万R17.9迄（64回〜66回）</t>
        </is>
      </c>
      <c r="C19" s="9" t="n">
        <v>312695</v>
      </c>
      <c r="D19" s="9" t="n">
        <v>309273</v>
      </c>
      <c r="E19" s="9" t="n">
        <v>312124</v>
      </c>
      <c r="F19" s="9" t="n"/>
      <c r="G19" s="9" t="n"/>
      <c r="H19" s="9" t="n"/>
      <c r="I19" s="10">
        <f>SUM(C19:H19)</f>
        <v/>
      </c>
      <c r="J19" s="41">
        <f>'サイクルEV_上期_7-12月'!I20</f>
        <v/>
      </c>
      <c r="K19" s="42">
        <f>I19+J19</f>
        <v/>
      </c>
    </row>
    <row r="20" ht="12" customHeight="1">
      <c r="A20" s="11" t="n"/>
      <c r="B20" s="11" t="n"/>
      <c r="C20" s="12" t="n"/>
      <c r="D20" s="12" t="n"/>
      <c r="E20" s="12" t="n"/>
      <c r="F20" s="12" t="n"/>
      <c r="G20" s="12" t="n"/>
      <c r="H20" s="12" t="n"/>
      <c r="I20" s="13" t="n"/>
      <c r="J20" s="43" t="n"/>
      <c r="K20" s="44" t="n"/>
    </row>
    <row r="21" ht="14" customHeight="1">
      <c r="A21" s="4" t="n"/>
      <c r="B21" s="5" t="inlineStr">
        <is>
          <t>▶ サイクル仕入れ</t>
        </is>
      </c>
      <c r="C21" s="6">
        <f>SUM(C22:C28)</f>
        <v/>
      </c>
      <c r="D21" s="6">
        <f>SUM(D22:D28)</f>
        <v/>
      </c>
      <c r="E21" s="6">
        <f>SUM(E22:E28)</f>
        <v/>
      </c>
      <c r="F21" s="6">
        <f>SUM(F22:F28)</f>
        <v/>
      </c>
      <c r="G21" s="6">
        <f>SUM(G22:G28)</f>
        <v/>
      </c>
      <c r="H21" s="6">
        <f>SUM(H22:H28)</f>
        <v/>
      </c>
      <c r="I21" s="7">
        <f>SUM(I22:I28)</f>
        <v/>
      </c>
      <c r="J21" s="39">
        <f>SUM(J22:J28)</f>
        <v/>
      </c>
      <c r="K21" s="40">
        <f>SUM(K22:K28)</f>
        <v/>
      </c>
    </row>
    <row r="22" ht="13" customHeight="1">
      <c r="A22" s="8" t="inlineStr"/>
      <c r="B22" s="8" t="inlineStr">
        <is>
          <t xml:space="preserve">  みずほ東芝リース</t>
        </is>
      </c>
      <c r="C22" s="14" t="n">
        <v>9350</v>
      </c>
      <c r="D22" s="14" t="n">
        <v>9350</v>
      </c>
      <c r="E22" s="14" t="n">
        <v>9350</v>
      </c>
      <c r="F22" s="14" t="n"/>
      <c r="G22" s="14" t="n"/>
      <c r="H22" s="14" t="n"/>
      <c r="I22" s="10">
        <f>SUM(C22:H22)</f>
        <v/>
      </c>
      <c r="J22" s="41">
        <f>'サイクルEV_上期_7-12月'!I26</f>
        <v/>
      </c>
      <c r="K22" s="42">
        <f>I22+J22</f>
        <v/>
      </c>
    </row>
    <row r="23" ht="13" customHeight="1">
      <c r="A23" s="8" t="inlineStr">
        <is>
          <t>31</t>
        </is>
      </c>
      <c r="B23" s="8" t="inlineStr">
        <is>
          <t xml:space="preserve">  なるおか　24回R9.2月迄十六リース</t>
        </is>
      </c>
      <c r="C23" s="14" t="n">
        <v>70070</v>
      </c>
      <c r="D23" s="14" t="n">
        <v>70070</v>
      </c>
      <c r="E23" s="14" t="n">
        <v>70070</v>
      </c>
      <c r="F23" s="14" t="n"/>
      <c r="G23" s="14" t="n"/>
      <c r="H23" s="14" t="n"/>
      <c r="I23" s="10">
        <f>SUM(C23:H23)</f>
        <v/>
      </c>
      <c r="J23" s="41">
        <f>'サイクルEV_上期_7-12月'!I24</f>
        <v/>
      </c>
      <c r="K23" s="42">
        <f>I23+J23</f>
        <v/>
      </c>
    </row>
    <row r="24" ht="13" customHeight="1">
      <c r="A24" s="8" t="inlineStr"/>
      <c r="B24" s="8" t="inlineStr">
        <is>
          <t xml:space="preserve">  JOYカート　24回R9.4月迄十六リース</t>
        </is>
      </c>
      <c r="C24" s="14" t="n">
        <v>24400</v>
      </c>
      <c r="D24" s="14" t="n">
        <v>24400</v>
      </c>
      <c r="E24" s="14" t="n">
        <v>24400</v>
      </c>
      <c r="F24" s="14" t="n"/>
      <c r="G24" s="14" t="n"/>
      <c r="H24" s="14" t="n"/>
      <c r="I24" s="10">
        <f>SUM(C24:H24)</f>
        <v/>
      </c>
      <c r="J24" s="41">
        <f>'サイクルEV_上期_7-12月'!I27</f>
        <v/>
      </c>
      <c r="K24" s="42">
        <f>I24+J24</f>
        <v/>
      </c>
    </row>
    <row r="25" ht="13" customHeight="1">
      <c r="A25" s="8" t="inlineStr">
        <is>
          <t>20</t>
        </is>
      </c>
      <c r="B25" s="8" t="inlineStr">
        <is>
          <t xml:space="preserve">  フカヤ　仕入れ</t>
        </is>
      </c>
      <c r="C25" s="9" t="n">
        <v>49481</v>
      </c>
      <c r="D25" s="9" t="n">
        <v>72102</v>
      </c>
      <c r="E25" s="9" t="n"/>
      <c r="F25" s="9" t="n"/>
      <c r="G25" s="9" t="n"/>
      <c r="H25" s="9" t="n"/>
      <c r="I25" s="10">
        <f>SUM(C25:H25)</f>
        <v/>
      </c>
      <c r="J25" s="41">
        <f>'サイクルEV_上期_7-12月'!I23</f>
        <v/>
      </c>
      <c r="K25" s="42">
        <f>I25+J25</f>
        <v/>
      </c>
    </row>
    <row r="26" ht="13" customHeight="1">
      <c r="A26" s="8" t="inlineStr"/>
      <c r="B26" s="8" t="inlineStr">
        <is>
          <t xml:space="preserve">  スワロー</t>
        </is>
      </c>
      <c r="C26" s="9" t="n"/>
      <c r="D26" s="9" t="n">
        <v>161030</v>
      </c>
      <c r="E26" s="9" t="n"/>
      <c r="F26" s="9" t="n"/>
      <c r="G26" s="9" t="n"/>
      <c r="H26" s="9" t="n"/>
      <c r="I26" s="10">
        <f>SUM(C26:H26)</f>
        <v/>
      </c>
      <c r="J26" s="41">
        <f>'サイクルEV_上期_7-12月'!I30</f>
        <v/>
      </c>
      <c r="K26" s="42">
        <f>I26+J26</f>
        <v/>
      </c>
    </row>
    <row r="27" ht="13" customHeight="1">
      <c r="A27" s="8" t="inlineStr"/>
      <c r="B27" s="8" t="inlineStr">
        <is>
          <t xml:space="preserve">  ウィズ　ドギーバイク</t>
        </is>
      </c>
      <c r="C27" s="9" t="n"/>
      <c r="D27" s="9" t="n">
        <v>200200</v>
      </c>
      <c r="E27" s="9" t="n"/>
      <c r="F27" s="9" t="n"/>
      <c r="G27" s="9" t="n"/>
      <c r="H27" s="9" t="n"/>
      <c r="I27" s="10">
        <f>SUM(C27:H27)</f>
        <v/>
      </c>
      <c r="J27" s="41">
        <f>'サイクルEV_上期_7-12月'!I36</f>
        <v/>
      </c>
      <c r="K27" s="42">
        <f>I27+J27</f>
        <v/>
      </c>
    </row>
    <row r="28" ht="12" customHeight="1">
      <c r="A28" s="11" t="n"/>
      <c r="B28" s="11" t="n"/>
      <c r="C28" s="12" t="n"/>
      <c r="D28" s="12" t="n"/>
      <c r="E28" s="12" t="n"/>
      <c r="F28" s="12" t="n"/>
      <c r="G28" s="12" t="n"/>
      <c r="H28" s="12" t="n"/>
      <c r="I28" s="13" t="n"/>
      <c r="J28" s="43" t="n"/>
      <c r="K28" s="44" t="n"/>
    </row>
    <row r="29" ht="14" customHeight="1">
      <c r="A29" s="4" t="n"/>
      <c r="B29" s="5" t="inlineStr">
        <is>
          <t>▶ 通信費</t>
        </is>
      </c>
      <c r="C29" s="6">
        <f>SUM(C30:C32)</f>
        <v/>
      </c>
      <c r="D29" s="6">
        <f>SUM(D30:D32)</f>
        <v/>
      </c>
      <c r="E29" s="6">
        <f>SUM(E30:E32)</f>
        <v/>
      </c>
      <c r="F29" s="6">
        <f>SUM(F30:F32)</f>
        <v/>
      </c>
      <c r="G29" s="6">
        <f>SUM(G30:G32)</f>
        <v/>
      </c>
      <c r="H29" s="6">
        <f>SUM(H30:H32)</f>
        <v/>
      </c>
      <c r="I29" s="7">
        <f>SUM(I30:I32)</f>
        <v/>
      </c>
      <c r="J29" s="39">
        <f>SUM(J30:J32)</f>
        <v/>
      </c>
      <c r="K29" s="40">
        <f>SUM(K30:K32)</f>
        <v/>
      </c>
    </row>
    <row r="30" ht="13" customHeight="1">
      <c r="A30" s="8" t="inlineStr"/>
      <c r="B30" s="8" t="inlineStr">
        <is>
          <t xml:space="preserve">  携帯</t>
        </is>
      </c>
      <c r="C30" s="14" t="n">
        <v>4800</v>
      </c>
      <c r="D30" s="14" t="n">
        <v>4800</v>
      </c>
      <c r="E30" s="14" t="n">
        <v>4800</v>
      </c>
      <c r="F30" s="14" t="n"/>
      <c r="G30" s="14" t="n"/>
      <c r="H30" s="14" t="n"/>
      <c r="I30" s="10">
        <f>SUM(C30:H30)</f>
        <v/>
      </c>
      <c r="J30" s="41">
        <f>'サイクルEV_上期_7-12月'!I39</f>
        <v/>
      </c>
      <c r="K30" s="42">
        <f>I30+J30</f>
        <v/>
      </c>
    </row>
    <row r="31" ht="13" customHeight="1">
      <c r="A31" s="8" t="inlineStr"/>
      <c r="B31" s="8" t="inlineStr">
        <is>
          <t xml:space="preserve">  施設利用　通信警備入金機音響サーバー</t>
        </is>
      </c>
      <c r="C31" s="14" t="n">
        <v>34638</v>
      </c>
      <c r="D31" s="14" t="n">
        <v>34638</v>
      </c>
      <c r="E31" s="14" t="n">
        <v>34638</v>
      </c>
      <c r="F31" s="14" t="n"/>
      <c r="G31" s="14" t="n"/>
      <c r="H31" s="14" t="n"/>
      <c r="I31" s="10">
        <f>SUM(C31:H31)</f>
        <v/>
      </c>
      <c r="J31" s="41">
        <f>'サイクルEV_上期_7-12月'!I40</f>
        <v/>
      </c>
      <c r="K31" s="42">
        <f>I31+J31</f>
        <v/>
      </c>
    </row>
    <row r="32" ht="12" customHeight="1">
      <c r="A32" s="11" t="n"/>
      <c r="B32" s="11" t="n"/>
      <c r="C32" s="12" t="n"/>
      <c r="D32" s="12" t="n"/>
      <c r="E32" s="12" t="n"/>
      <c r="F32" s="12" t="n"/>
      <c r="G32" s="12" t="n"/>
      <c r="H32" s="12" t="n"/>
      <c r="I32" s="13" t="n"/>
      <c r="J32" s="43" t="n"/>
      <c r="K32" s="44" t="n"/>
    </row>
    <row r="33" ht="14" customHeight="1">
      <c r="A33" s="4" t="n"/>
      <c r="B33" s="5" t="inlineStr">
        <is>
          <t>▶ 雑費　消耗品　修繕費　その他</t>
        </is>
      </c>
      <c r="C33" s="6">
        <f>SUM(C34:C38)</f>
        <v/>
      </c>
      <c r="D33" s="6">
        <f>SUM(D34:D38)</f>
        <v/>
      </c>
      <c r="E33" s="6">
        <f>SUM(E34:E38)</f>
        <v/>
      </c>
      <c r="F33" s="6">
        <f>SUM(F34:F38)</f>
        <v/>
      </c>
      <c r="G33" s="6">
        <f>SUM(G34:G38)</f>
        <v/>
      </c>
      <c r="H33" s="6">
        <f>SUM(H34:H38)</f>
        <v/>
      </c>
      <c r="I33" s="7">
        <f>SUM(I34:I38)</f>
        <v/>
      </c>
      <c r="J33" s="39">
        <f>SUM(J34:J38)</f>
        <v/>
      </c>
      <c r="K33" s="40">
        <f>SUM(K34:K38)</f>
        <v/>
      </c>
    </row>
    <row r="34" ht="13" customHeight="1">
      <c r="A34" s="8" t="inlineStr"/>
      <c r="B34" s="8" t="inlineStr">
        <is>
          <t xml:space="preserve">  イーコム　ゴミ回収</t>
        </is>
      </c>
      <c r="C34" s="9" t="n">
        <v>11605</v>
      </c>
      <c r="D34" s="9" t="n">
        <v>11363</v>
      </c>
      <c r="E34" s="9" t="n">
        <v>12089</v>
      </c>
      <c r="F34" s="9" t="n"/>
      <c r="G34" s="9" t="n"/>
      <c r="H34" s="9" t="n"/>
      <c r="I34" s="10">
        <f>SUM(C34:H34)</f>
        <v/>
      </c>
      <c r="J34" s="41">
        <f>'サイクルEV_上期_7-12月'!I43</f>
        <v/>
      </c>
      <c r="K34" s="42">
        <f>I34+J34</f>
        <v/>
      </c>
    </row>
    <row r="35" ht="13" customHeight="1">
      <c r="A35" s="8" t="inlineStr"/>
      <c r="B35" s="8" t="inlineStr">
        <is>
          <t xml:space="preserve">  MonotaRo</t>
        </is>
      </c>
      <c r="C35" s="9" t="n"/>
      <c r="D35" s="9" t="n">
        <v>4398</v>
      </c>
      <c r="E35" s="9" t="n"/>
      <c r="F35" s="9" t="n"/>
      <c r="G35" s="9" t="n"/>
      <c r="H35" s="9" t="n"/>
      <c r="I35" s="10">
        <f>SUM(C35:H35)</f>
        <v/>
      </c>
      <c r="J35" s="41">
        <f>'サイクルEV_上期_7-12月'!I47</f>
        <v/>
      </c>
      <c r="K35" s="42">
        <f>I35+J35</f>
        <v/>
      </c>
    </row>
    <row r="36" ht="13" customHeight="1">
      <c r="A36" s="8" t="inlineStr">
        <is>
          <t>10</t>
        </is>
      </c>
      <c r="B36" s="8" t="inlineStr">
        <is>
          <t xml:space="preserve">  小口</t>
        </is>
      </c>
      <c r="C36" s="9" t="n"/>
      <c r="D36" s="9" t="n">
        <v>50000</v>
      </c>
      <c r="E36" s="9" t="n"/>
      <c r="F36" s="9" t="n"/>
      <c r="G36" s="9" t="n"/>
      <c r="H36" s="9" t="n"/>
      <c r="I36" s="10">
        <f>SUM(C36:H36)</f>
        <v/>
      </c>
      <c r="J36" s="41">
        <f>'サイクルEV_上期_7-12月'!I44</f>
        <v/>
      </c>
      <c r="K36" s="42">
        <f>I36+J36</f>
        <v/>
      </c>
    </row>
    <row r="37" ht="13" customHeight="1">
      <c r="A37" s="8" t="inlineStr"/>
      <c r="B37" s="8" t="inlineStr">
        <is>
          <t xml:space="preserve">  三井住友　自賠責保険</t>
        </is>
      </c>
      <c r="C37" s="9" t="n"/>
      <c r="D37" s="9" t="n"/>
      <c r="E37" s="9" t="n">
        <v>48360</v>
      </c>
      <c r="F37" s="9" t="n"/>
      <c r="G37" s="9" t="n"/>
      <c r="H37" s="9" t="n"/>
      <c r="I37" s="10">
        <f>SUM(C37:H37)</f>
        <v/>
      </c>
      <c r="J37" s="41" t="n"/>
      <c r="K37" s="42">
        <f>I37+J37</f>
        <v/>
      </c>
    </row>
    <row r="38" ht="12" customHeight="1">
      <c r="A38" s="11" t="n"/>
      <c r="B38" s="11" t="n"/>
      <c r="C38" s="12" t="n"/>
      <c r="D38" s="12" t="n"/>
      <c r="E38" s="12" t="n"/>
      <c r="F38" s="12" t="n"/>
      <c r="G38" s="12" t="n"/>
      <c r="H38" s="12" t="n"/>
      <c r="I38" s="13" t="n"/>
      <c r="J38" s="43" t="n"/>
      <c r="K38" s="44" t="n"/>
    </row>
    <row r="39" ht="14" customHeight="1">
      <c r="A39" s="4" t="n"/>
      <c r="B39" s="5" t="inlineStr">
        <is>
          <t>▶ 広告宣伝費</t>
        </is>
      </c>
      <c r="C39" s="6">
        <f>SUM(C40:C41)</f>
        <v/>
      </c>
      <c r="D39" s="6">
        <f>SUM(D40:D41)</f>
        <v/>
      </c>
      <c r="E39" s="6">
        <f>SUM(E40:E41)</f>
        <v/>
      </c>
      <c r="F39" s="6">
        <f>SUM(F40:F41)</f>
        <v/>
      </c>
      <c r="G39" s="6">
        <f>SUM(G40:G41)</f>
        <v/>
      </c>
      <c r="H39" s="6">
        <f>SUM(H40:H41)</f>
        <v/>
      </c>
      <c r="I39" s="7">
        <f>SUM(I40:I41)</f>
        <v/>
      </c>
      <c r="J39" s="39">
        <f>SUM(J40:J41)</f>
        <v/>
      </c>
      <c r="K39" s="40">
        <f>SUM(K40:K41)</f>
        <v/>
      </c>
    </row>
    <row r="40" ht="13" customHeight="1">
      <c r="A40" s="8" t="inlineStr"/>
      <c r="B40" s="8" t="inlineStr">
        <is>
          <t xml:space="preserve">  創舎</t>
        </is>
      </c>
      <c r="C40" s="9" t="n"/>
      <c r="D40" s="9" t="n"/>
      <c r="E40" s="9" t="n">
        <v>22000</v>
      </c>
      <c r="F40" s="9" t="n"/>
      <c r="G40" s="9" t="n"/>
      <c r="H40" s="9" t="n"/>
      <c r="I40" s="10">
        <f>SUM(C40:H40)</f>
        <v/>
      </c>
      <c r="J40" s="41">
        <f>'サイクルEV_上期_7-12月'!I50</f>
        <v/>
      </c>
      <c r="K40" s="42">
        <f>I40+J40</f>
        <v/>
      </c>
    </row>
    <row r="41" ht="1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3" t="n"/>
      <c r="J41" s="43" t="n"/>
      <c r="K41" s="44" t="n"/>
    </row>
    <row r="42" ht="15" customHeight="1">
      <c r="A42" s="15" t="n"/>
      <c r="B42" s="16" t="inlineStr">
        <is>
          <t>① 支出合計</t>
        </is>
      </c>
      <c r="C42" s="17">
        <f>C4+C10+C16+C21+C29+C33+C39</f>
        <v/>
      </c>
      <c r="D42" s="17">
        <f>D4+D10+D16+D21+D29+D33+D39</f>
        <v/>
      </c>
      <c r="E42" s="17">
        <f>E4+E10+E16+E21+E29+E33+E39</f>
        <v/>
      </c>
      <c r="F42" s="17">
        <f>F4+F10+F16+F21+F29+F33+F39</f>
        <v/>
      </c>
      <c r="G42" s="17">
        <f>G4+G10+G16+G21+G29+G33+G39</f>
        <v/>
      </c>
      <c r="H42" s="17">
        <f>H4+H10+H16+H21+H29+H33+H39</f>
        <v/>
      </c>
      <c r="I42" s="7">
        <f>I4+I10+I16+I21+I29+I33+I39</f>
        <v/>
      </c>
      <c r="J42" s="39">
        <f>J4+J10+J16+J21+J29+J33+J39</f>
        <v/>
      </c>
      <c r="K42" s="40">
        <f>K4+K10+K16+K21+K29+K33+K39</f>
        <v/>
      </c>
    </row>
    <row r="44" ht="16" customHeight="1">
      <c r="A44" s="18" t="inlineStr">
        <is>
          <t>【 ② 収　入（売上・粗利・雑収入など） 】</t>
        </is>
      </c>
    </row>
    <row r="45" ht="14" customHeight="1">
      <c r="A45" s="19" t="n"/>
      <c r="B45" s="20" t="inlineStr">
        <is>
          <t>▶ 収入・支出項目</t>
        </is>
      </c>
      <c r="C45" s="21">
        <f>SUM(C46:C56)</f>
        <v/>
      </c>
      <c r="D45" s="21">
        <f>SUM(D46:D56)</f>
        <v/>
      </c>
      <c r="E45" s="21">
        <f>SUM(E46:E56)</f>
        <v/>
      </c>
      <c r="F45" s="21">
        <f>SUM(F46:F56)</f>
        <v/>
      </c>
      <c r="G45" s="21">
        <f>SUM(G46:G56)</f>
        <v/>
      </c>
      <c r="H45" s="21">
        <f>SUM(H46:H56)</f>
        <v/>
      </c>
      <c r="I45" s="7">
        <f>SUM(I46:I56)</f>
        <v/>
      </c>
      <c r="J45" s="39">
        <f>SUM(J46:J56)</f>
        <v/>
      </c>
      <c r="K45" s="40">
        <f>SUM(K46:K56)</f>
        <v/>
      </c>
    </row>
    <row r="46" ht="13" customHeight="1">
      <c r="A46" s="22" t="inlineStr">
        <is>
          <t>1週目</t>
        </is>
      </c>
      <c r="B46" s="22" t="inlineStr">
        <is>
          <t xml:space="preserve">  売上入金</t>
        </is>
      </c>
      <c r="C46" s="23" t="n">
        <v>17206</v>
      </c>
      <c r="D46" s="23" t="n">
        <v>18273</v>
      </c>
      <c r="E46" s="23" t="n">
        <v>3670</v>
      </c>
      <c r="F46" s="23" t="n"/>
      <c r="G46" s="23" t="n"/>
      <c r="H46" s="23" t="n"/>
      <c r="I46" s="10">
        <f>SUM(C46:H46)</f>
        <v/>
      </c>
      <c r="J46" s="41">
        <f>'サイクルEV_上期_7-12月'!I60</f>
        <v/>
      </c>
      <c r="K46" s="42">
        <f>I46+J46</f>
        <v/>
      </c>
    </row>
    <row r="47" ht="13" customHeight="1">
      <c r="A47" s="22" t="inlineStr">
        <is>
          <t>2週目</t>
        </is>
      </c>
      <c r="B47" s="22" t="inlineStr">
        <is>
          <t xml:space="preserve">  売上入金</t>
        </is>
      </c>
      <c r="C47" s="23" t="n">
        <v>1500</v>
      </c>
      <c r="D47" s="23" t="n">
        <v>1485</v>
      </c>
      <c r="E47" s="23" t="n">
        <v>7380</v>
      </c>
      <c r="F47" s="23" t="n"/>
      <c r="G47" s="23" t="n"/>
      <c r="H47" s="23" t="n"/>
      <c r="I47" s="10">
        <f>SUM(C47:H47)</f>
        <v/>
      </c>
      <c r="J47" s="41">
        <f>'サイクルEV_上期_7-12月'!I61</f>
        <v/>
      </c>
      <c r="K47" s="42">
        <f>I47+J47</f>
        <v/>
      </c>
    </row>
    <row r="48" ht="13" customHeight="1">
      <c r="A48" s="22" t="inlineStr">
        <is>
          <t>3週目</t>
        </is>
      </c>
      <c r="B48" s="22" t="inlineStr">
        <is>
          <t xml:space="preserve">  売上入金</t>
        </is>
      </c>
      <c r="C48" s="23" t="n">
        <v>2492</v>
      </c>
      <c r="D48" s="23" t="n">
        <v>4900</v>
      </c>
      <c r="E48" s="23" t="n">
        <v>22100</v>
      </c>
      <c r="F48" s="23" t="n"/>
      <c r="G48" s="23" t="n"/>
      <c r="H48" s="23" t="n"/>
      <c r="I48" s="10">
        <f>SUM(C48:H48)</f>
        <v/>
      </c>
      <c r="J48" s="41">
        <f>'サイクルEV_上期_7-12月'!I62</f>
        <v/>
      </c>
      <c r="K48" s="42">
        <f>I48+J48</f>
        <v/>
      </c>
    </row>
    <row r="49" ht="13" customHeight="1">
      <c r="A49" s="22" t="inlineStr">
        <is>
          <t>4週目</t>
        </is>
      </c>
      <c r="B49" s="22" t="inlineStr">
        <is>
          <t xml:space="preserve">  売上入金</t>
        </is>
      </c>
      <c r="C49" s="23" t="n">
        <v>270000</v>
      </c>
      <c r="D49" s="23" t="n">
        <v>26120</v>
      </c>
      <c r="E49" s="23" t="n">
        <v>23696</v>
      </c>
      <c r="F49" s="23" t="n"/>
      <c r="G49" s="23" t="n"/>
      <c r="H49" s="23" t="n"/>
      <c r="I49" s="10">
        <f>SUM(C49:H49)</f>
        <v/>
      </c>
      <c r="J49" s="41">
        <f>'サイクルEV_上期_7-12月'!I63</f>
        <v/>
      </c>
      <c r="K49" s="42">
        <f>I49+J49</f>
        <v/>
      </c>
    </row>
    <row r="50" ht="13" customHeight="1">
      <c r="A50" s="22" t="inlineStr">
        <is>
          <t>20</t>
        </is>
      </c>
      <c r="B50" s="22" t="inlineStr">
        <is>
          <t xml:space="preserve">  ストアーズ　決済(当座へ入金）</t>
        </is>
      </c>
      <c r="C50" s="23" t="n">
        <v>44165</v>
      </c>
      <c r="D50" s="23" t="n">
        <v>261944</v>
      </c>
      <c r="E50" s="23" t="n">
        <v>361486</v>
      </c>
      <c r="F50" s="23" t="n"/>
      <c r="G50" s="23" t="n"/>
      <c r="H50" s="23" t="n"/>
      <c r="I50" s="10">
        <f>SUM(C50:H50)</f>
        <v/>
      </c>
      <c r="J50" s="41">
        <f>'サイクルEV_上期_7-12月'!I67</f>
        <v/>
      </c>
      <c r="K50" s="42">
        <f>I50+J50</f>
        <v/>
      </c>
    </row>
    <row r="51" ht="13" customHeight="1">
      <c r="A51" s="22" t="inlineStr">
        <is>
          <t>25</t>
        </is>
      </c>
      <c r="B51" s="22" t="inlineStr">
        <is>
          <t xml:space="preserve">  STORES予約(クレジット不動）</t>
        </is>
      </c>
      <c r="C51" s="23" t="n">
        <v>5131</v>
      </c>
      <c r="D51" s="23" t="n">
        <v>5131</v>
      </c>
      <c r="E51" s="23" t="n">
        <v>16246</v>
      </c>
      <c r="F51" s="23" t="n"/>
      <c r="G51" s="23" t="n"/>
      <c r="H51" s="23" t="n"/>
      <c r="I51" s="10">
        <f>SUM(C51:H51)</f>
        <v/>
      </c>
      <c r="J51" s="41">
        <f>'サイクルEV_上期_7-12月'!I65</f>
        <v/>
      </c>
      <c r="K51" s="42">
        <f>I51+J51</f>
        <v/>
      </c>
    </row>
    <row r="52" ht="13" customHeight="1">
      <c r="A52" s="22" t="inlineStr">
        <is>
          <t>13</t>
        </is>
      </c>
      <c r="B52" s="22" t="inlineStr">
        <is>
          <t xml:space="preserve">  その他（愛知県サイクリング協会）</t>
        </is>
      </c>
      <c r="C52" s="23" t="n">
        <v>1610</v>
      </c>
      <c r="D52" s="23" t="n"/>
      <c r="E52" s="23" t="n"/>
      <c r="F52" s="23" t="n"/>
      <c r="G52" s="23" t="n"/>
      <c r="H52" s="23" t="n"/>
      <c r="I52" s="10">
        <f>SUM(C52:H52)</f>
        <v/>
      </c>
      <c r="J52" s="41" t="n"/>
      <c r="K52" s="42">
        <f>I52+J52</f>
        <v/>
      </c>
    </row>
    <row r="53" ht="13" customHeight="1">
      <c r="A53" s="22" t="inlineStr">
        <is>
          <t>13</t>
        </is>
      </c>
      <c r="B53" s="22" t="inlineStr">
        <is>
          <t xml:space="preserve">  その他（岐阜県）</t>
        </is>
      </c>
      <c r="C53" s="23" t="n">
        <v>533000</v>
      </c>
      <c r="D53" s="23" t="n"/>
      <c r="E53" s="23" t="n"/>
      <c r="F53" s="23" t="n"/>
      <c r="G53" s="23" t="n"/>
      <c r="H53" s="23" t="n"/>
      <c r="I53" s="10">
        <f>SUM(C53:H53)</f>
        <v/>
      </c>
      <c r="J53" s="41" t="n"/>
      <c r="K53" s="42">
        <f>I53+J53</f>
        <v/>
      </c>
    </row>
    <row r="54" ht="13" customHeight="1">
      <c r="A54" s="22" t="inlineStr">
        <is>
          <t>13</t>
        </is>
      </c>
      <c r="B54" s="22" t="inlineStr">
        <is>
          <t xml:space="preserve">  その他（）</t>
        </is>
      </c>
      <c r="C54" s="23" t="n"/>
      <c r="D54" s="23" t="n">
        <v>8800</v>
      </c>
      <c r="E54" s="23" t="n"/>
      <c r="F54" s="23" t="n"/>
      <c r="G54" s="23" t="n"/>
      <c r="H54" s="23" t="n"/>
      <c r="I54" s="10">
        <f>SUM(C54:H54)</f>
        <v/>
      </c>
      <c r="J54" s="41" t="n"/>
      <c r="K54" s="42">
        <f>I54+J54</f>
        <v/>
      </c>
    </row>
    <row r="55" ht="13" customHeight="1">
      <c r="A55" s="22" t="inlineStr">
        <is>
          <t>13</t>
        </is>
      </c>
      <c r="B55" s="22" t="inlineStr">
        <is>
          <t xml:space="preserve">  その他（ツタイ）</t>
        </is>
      </c>
      <c r="C55" s="23" t="n"/>
      <c r="D55" s="23" t="n"/>
      <c r="E55" s="23" t="n">
        <v>28280</v>
      </c>
      <c r="F55" s="23" t="n"/>
      <c r="G55" s="23" t="n"/>
      <c r="H55" s="23" t="n"/>
      <c r="I55" s="10">
        <f>SUM(C55:H55)</f>
        <v/>
      </c>
      <c r="J55" s="41" t="n"/>
      <c r="K55" s="42">
        <f>I55+J55</f>
        <v/>
      </c>
    </row>
    <row r="56" ht="12" customHeight="1">
      <c r="A56" s="25" t="n"/>
      <c r="B56" s="25" t="n"/>
      <c r="C56" s="26" t="n"/>
      <c r="D56" s="26" t="n"/>
      <c r="E56" s="26" t="n"/>
      <c r="F56" s="26" t="n"/>
      <c r="G56" s="26" t="n"/>
      <c r="H56" s="26" t="n"/>
      <c r="I56" s="13" t="n"/>
      <c r="J56" s="43" t="n"/>
      <c r="K56" s="44" t="n"/>
    </row>
    <row r="57" ht="15" customHeight="1">
      <c r="A57" s="27" t="n"/>
      <c r="B57" s="28" t="inlineStr">
        <is>
          <t>② 収入合計</t>
        </is>
      </c>
      <c r="C57" s="29">
        <f>C45</f>
        <v/>
      </c>
      <c r="D57" s="29">
        <f>D45</f>
        <v/>
      </c>
      <c r="E57" s="29">
        <f>E45</f>
        <v/>
      </c>
      <c r="F57" s="29">
        <f>F45</f>
        <v/>
      </c>
      <c r="G57" s="29">
        <f>G45</f>
        <v/>
      </c>
      <c r="H57" s="29">
        <f>H45</f>
        <v/>
      </c>
      <c r="I57" s="7">
        <f>I45</f>
        <v/>
      </c>
      <c r="J57" s="39">
        <f>J45</f>
        <v/>
      </c>
      <c r="K57" s="40">
        <f>K45</f>
        <v/>
      </c>
    </row>
    <row r="59" ht="22" customHeight="1">
      <c r="A59" s="30" t="n"/>
      <c r="B59" s="31" t="inlineStr">
        <is>
          <t>① 経　費</t>
        </is>
      </c>
      <c r="C59" s="32">
        <f>C42</f>
        <v/>
      </c>
      <c r="D59" s="32">
        <f>D42</f>
        <v/>
      </c>
      <c r="E59" s="32">
        <f>E42</f>
        <v/>
      </c>
      <c r="F59" s="32">
        <f>F42</f>
        <v/>
      </c>
      <c r="G59" s="32">
        <f>G42</f>
        <v/>
      </c>
      <c r="H59" s="32">
        <f>H42</f>
        <v/>
      </c>
      <c r="I59" s="32">
        <f>I42</f>
        <v/>
      </c>
      <c r="J59" s="32">
        <f>J42</f>
        <v/>
      </c>
      <c r="K59" s="32">
        <f>K42</f>
        <v/>
      </c>
    </row>
    <row r="60" ht="22" customHeight="1">
      <c r="A60" s="33" t="n"/>
      <c r="B60" s="34" t="inlineStr">
        <is>
          <t>② 収　入</t>
        </is>
      </c>
      <c r="C60" s="35">
        <f>C57</f>
        <v/>
      </c>
      <c r="D60" s="35">
        <f>D57</f>
        <v/>
      </c>
      <c r="E60" s="35">
        <f>E57</f>
        <v/>
      </c>
      <c r="F60" s="35">
        <f>F57</f>
        <v/>
      </c>
      <c r="G60" s="35">
        <f>G57</f>
        <v/>
      </c>
      <c r="H60" s="35">
        <f>H57</f>
        <v/>
      </c>
      <c r="I60" s="35">
        <f>I57</f>
        <v/>
      </c>
      <c r="J60" s="35">
        <f>J57</f>
        <v/>
      </c>
      <c r="K60" s="35">
        <f>K57</f>
        <v/>
      </c>
    </row>
    <row r="61" ht="22" customHeight="1">
      <c r="A61" s="36" t="n"/>
      <c r="B61" s="37" t="inlineStr">
        <is>
          <t>③ 収　支  ②－①</t>
        </is>
      </c>
      <c r="C61" s="38">
        <f>C57-C42</f>
        <v/>
      </c>
      <c r="D61" s="38">
        <f>D57-D42</f>
        <v/>
      </c>
      <c r="E61" s="38">
        <f>E57-E42</f>
        <v/>
      </c>
      <c r="F61" s="38">
        <f>F57-F42</f>
        <v/>
      </c>
      <c r="G61" s="38">
        <f>G57-G42</f>
        <v/>
      </c>
      <c r="H61" s="38">
        <f>H57-H42</f>
        <v/>
      </c>
      <c r="I61" s="38">
        <f>I57-I42</f>
        <v/>
      </c>
      <c r="J61" s="38">
        <f>J57-J42</f>
        <v/>
      </c>
      <c r="K61" s="38">
        <f>K57-K42</f>
        <v/>
      </c>
    </row>
  </sheetData>
  <mergeCells count="3">
    <mergeCell ref="A44:K44"/>
    <mergeCell ref="A1:K1"/>
    <mergeCell ref="A3:K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I59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⑧ ボディケア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給与・法定福利・福利</t>
        </is>
      </c>
      <c r="C4" s="6">
        <f>SUM(C5:C9)</f>
        <v/>
      </c>
      <c r="D4" s="6">
        <f>SUM(D5:D9)</f>
        <v/>
      </c>
      <c r="E4" s="6">
        <f>SUM(E5:E9)</f>
        <v/>
      </c>
      <c r="F4" s="6">
        <f>SUM(F5:F9)</f>
        <v/>
      </c>
      <c r="G4" s="6">
        <f>SUM(G5:G9)</f>
        <v/>
      </c>
      <c r="H4" s="6">
        <f>SUM(H5:H9)</f>
        <v/>
      </c>
      <c r="I4" s="7">
        <f>SUM(I5:I9)</f>
        <v/>
      </c>
    </row>
    <row r="5" ht="13" customHeight="1">
      <c r="A5" s="8" t="inlineStr">
        <is>
          <t>20</t>
        </is>
      </c>
      <c r="B5" s="8" t="inlineStr">
        <is>
          <t xml:space="preserve">  給与支給　社員　（中島）</t>
        </is>
      </c>
      <c r="C5" s="9" t="n">
        <v>354818</v>
      </c>
      <c r="D5" s="9" t="n">
        <v>354818</v>
      </c>
      <c r="E5" s="9" t="n">
        <v>355256</v>
      </c>
      <c r="F5" s="9" t="n">
        <v>354599</v>
      </c>
      <c r="G5" s="9" t="n">
        <v>355037</v>
      </c>
      <c r="H5" s="9" t="n">
        <v>354818</v>
      </c>
      <c r="I5" s="10">
        <f>SUM(C5:H5)</f>
        <v/>
      </c>
    </row>
    <row r="6" ht="13" customHeight="1">
      <c r="A6" s="8" t="inlineStr">
        <is>
          <t>20</t>
        </is>
      </c>
      <c r="B6" s="8" t="inlineStr">
        <is>
          <t xml:space="preserve">  社会保険　社員　会社負担</t>
        </is>
      </c>
      <c r="C6" s="9" t="n">
        <v>55627</v>
      </c>
      <c r="D6" s="9" t="n">
        <v>55627</v>
      </c>
      <c r="E6" s="9" t="n">
        <v>55630</v>
      </c>
      <c r="F6" s="9" t="n">
        <v>55626</v>
      </c>
      <c r="G6" s="9" t="n">
        <v>55629</v>
      </c>
      <c r="H6" s="9" t="n">
        <v>55627</v>
      </c>
      <c r="I6" s="10">
        <f>SUM(C6:H6)</f>
        <v/>
      </c>
    </row>
    <row r="7" ht="13" customHeight="1">
      <c r="A7" s="8" t="inlineStr">
        <is>
          <t>末</t>
        </is>
      </c>
      <c r="B7" s="8" t="inlineStr">
        <is>
          <t xml:space="preserve">  杉山氏　交通費（1/3）</t>
        </is>
      </c>
      <c r="C7" s="9" t="n"/>
      <c r="D7" s="9" t="n"/>
      <c r="E7" s="9" t="n"/>
      <c r="F7" s="9" t="n">
        <v>79580</v>
      </c>
      <c r="G7" s="9" t="n"/>
      <c r="H7" s="9" t="n">
        <v>107252</v>
      </c>
      <c r="I7" s="10">
        <f>SUM(C7:H7)</f>
        <v/>
      </c>
    </row>
    <row r="8" ht="13" customHeight="1">
      <c r="A8" s="8" t="inlineStr">
        <is>
          <t>末</t>
        </is>
      </c>
      <c r="B8" s="8" t="inlineStr">
        <is>
          <t xml:space="preserve">  杉山氏　業務委託費（1/3）</t>
        </is>
      </c>
      <c r="C8" s="9" t="n">
        <v>33158</v>
      </c>
      <c r="D8" s="9" t="n"/>
      <c r="E8" s="9" t="n"/>
      <c r="F8" s="9" t="n"/>
      <c r="G8" s="9" t="n"/>
      <c r="H8" s="9" t="n"/>
      <c r="I8" s="10">
        <f>SUM(C8:H8)</f>
        <v/>
      </c>
    </row>
    <row r="9" ht="12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3" t="n"/>
    </row>
    <row r="10" ht="14" customHeight="1">
      <c r="A10" s="4" t="n"/>
      <c r="B10" s="5" t="inlineStr">
        <is>
          <t>▶ 光熱費</t>
        </is>
      </c>
      <c r="C10" s="6">
        <f>SUM(C11:C13)</f>
        <v/>
      </c>
      <c r="D10" s="6">
        <f>SUM(D11:D13)</f>
        <v/>
      </c>
      <c r="E10" s="6">
        <f>SUM(E11:E13)</f>
        <v/>
      </c>
      <c r="F10" s="6">
        <f>SUM(F11:F13)</f>
        <v/>
      </c>
      <c r="G10" s="6">
        <f>SUM(G11:G13)</f>
        <v/>
      </c>
      <c r="H10" s="6">
        <f>SUM(H11:H13)</f>
        <v/>
      </c>
      <c r="I10" s="7">
        <f>SUM(I11:I13)</f>
        <v/>
      </c>
    </row>
    <row r="11" ht="13" customHeight="1">
      <c r="A11" s="8" t="inlineStr"/>
      <c r="B11" s="8" t="inlineStr">
        <is>
          <t xml:space="preserve">  電気</t>
        </is>
      </c>
      <c r="C11" s="9" t="n">
        <v>22327</v>
      </c>
      <c r="D11" s="9" t="n">
        <v>24788</v>
      </c>
      <c r="E11" s="9" t="n">
        <v>24486</v>
      </c>
      <c r="F11" s="9" t="n">
        <v>19278</v>
      </c>
      <c r="G11" s="9" t="n">
        <v>20001</v>
      </c>
      <c r="H11" s="9" t="n">
        <v>18940</v>
      </c>
      <c r="I11" s="10">
        <f>SUM(C11:H11)</f>
        <v/>
      </c>
    </row>
    <row r="12" ht="13" customHeight="1">
      <c r="A12" s="8" t="inlineStr"/>
      <c r="B12" s="8" t="inlineStr">
        <is>
          <t xml:space="preserve">  ガス　空調</t>
        </is>
      </c>
      <c r="C12" s="9" t="n">
        <v>5575</v>
      </c>
      <c r="D12" s="9" t="n">
        <v>38490</v>
      </c>
      <c r="E12" s="9" t="n">
        <v>67471</v>
      </c>
      <c r="F12" s="9" t="n">
        <v>62438</v>
      </c>
      <c r="G12" s="9" t="n">
        <v>27336</v>
      </c>
      <c r="H12" s="9" t="n">
        <v>3964</v>
      </c>
      <c r="I12" s="10">
        <f>SUM(C12:H12)</f>
        <v/>
      </c>
    </row>
    <row r="13" ht="1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3" t="n"/>
    </row>
    <row r="14" ht="14" customHeight="1">
      <c r="A14" s="4" t="n"/>
      <c r="B14" s="5" t="inlineStr">
        <is>
          <t>▶ 銀行返済</t>
        </is>
      </c>
      <c r="C14" s="6">
        <f>SUM(C15:C18)</f>
        <v/>
      </c>
      <c r="D14" s="6">
        <f>SUM(D15:D18)</f>
        <v/>
      </c>
      <c r="E14" s="6">
        <f>SUM(E15:E18)</f>
        <v/>
      </c>
      <c r="F14" s="6">
        <f>SUM(F15:F18)</f>
        <v/>
      </c>
      <c r="G14" s="6">
        <f>SUM(G15:G18)</f>
        <v/>
      </c>
      <c r="H14" s="6">
        <f>SUM(H15:H18)</f>
        <v/>
      </c>
      <c r="I14" s="7">
        <f>SUM(I15:I18)</f>
        <v/>
      </c>
    </row>
    <row r="15" ht="13" customHeight="1">
      <c r="A15" s="8" t="inlineStr">
        <is>
          <t>20</t>
        </is>
      </c>
      <c r="B15" s="8" t="inlineStr">
        <is>
          <t xml:space="preserve">  BLOCK47　ぎしん6000万</t>
        </is>
      </c>
      <c r="C15" s="14" t="n">
        <v>330000</v>
      </c>
      <c r="D15" s="14" t="n">
        <v>330000</v>
      </c>
      <c r="E15" s="14" t="n">
        <v>330000</v>
      </c>
      <c r="F15" s="14" t="n">
        <v>330000</v>
      </c>
      <c r="G15" s="14" t="n">
        <v>330000</v>
      </c>
      <c r="H15" s="14" t="n">
        <v>330000</v>
      </c>
      <c r="I15" s="10">
        <f>SUM(C15:H15)</f>
        <v/>
      </c>
    </row>
    <row r="16" ht="13" customHeight="1">
      <c r="A16" s="8" t="inlineStr"/>
      <c r="B16" s="8" t="inlineStr">
        <is>
          <t xml:space="preserve">  BLOCK47　商信6000万</t>
        </is>
      </c>
      <c r="C16" s="14" t="n">
        <v>330000</v>
      </c>
      <c r="D16" s="14" t="n">
        <v>330000</v>
      </c>
      <c r="E16" s="14" t="n">
        <v>330000</v>
      </c>
      <c r="F16" s="14" t="n">
        <v>330000</v>
      </c>
      <c r="G16" s="14" t="n">
        <v>330000</v>
      </c>
      <c r="H16" s="14" t="n">
        <v>330000</v>
      </c>
      <c r="I16" s="10">
        <f>SUM(C16:H16)</f>
        <v/>
      </c>
    </row>
    <row r="17" ht="13" customHeight="1">
      <c r="A17" s="8" t="inlineStr"/>
      <c r="B17" s="8" t="inlineStr">
        <is>
          <t xml:space="preserve">  IPラウンジ　大共　2000万</t>
        </is>
      </c>
      <c r="C17" s="14" t="n">
        <v>191000</v>
      </c>
      <c r="D17" s="14" t="n">
        <v>191000</v>
      </c>
      <c r="E17" s="14" t="n">
        <v>191000</v>
      </c>
      <c r="F17" s="14" t="n">
        <v>191000</v>
      </c>
      <c r="G17" s="14" t="n">
        <v>191000</v>
      </c>
      <c r="H17" s="14" t="n">
        <v>191000</v>
      </c>
      <c r="I17" s="10">
        <f>SUM(C17:H17)</f>
        <v/>
      </c>
    </row>
    <row r="18" ht="12" customHeight="1">
      <c r="A18" s="11" t="n"/>
      <c r="B18" s="11" t="n"/>
      <c r="C18" s="12" t="n"/>
      <c r="D18" s="12" t="n"/>
      <c r="E18" s="12" t="n"/>
      <c r="F18" s="12" t="n"/>
      <c r="G18" s="12" t="n"/>
      <c r="H18" s="12" t="n"/>
      <c r="I18" s="13" t="n"/>
    </row>
    <row r="19" ht="14" customHeight="1">
      <c r="A19" s="4" t="n"/>
      <c r="B19" s="5" t="inlineStr">
        <is>
          <t>▶ IP機材レンタル/仕入れ</t>
        </is>
      </c>
      <c r="C19" s="6">
        <f>SUM(C20:C25)</f>
        <v/>
      </c>
      <c r="D19" s="6">
        <f>SUM(D20:D25)</f>
        <v/>
      </c>
      <c r="E19" s="6">
        <f>SUM(E20:E25)</f>
        <v/>
      </c>
      <c r="F19" s="6">
        <f>SUM(F20:F25)</f>
        <v/>
      </c>
      <c r="G19" s="6">
        <f>SUM(G20:G25)</f>
        <v/>
      </c>
      <c r="H19" s="6">
        <f>SUM(H20:H25)</f>
        <v/>
      </c>
      <c r="I19" s="7">
        <f>SUM(I20:I25)</f>
        <v/>
      </c>
    </row>
    <row r="20" ht="13" customHeight="1">
      <c r="A20" s="8" t="inlineStr">
        <is>
          <t>末</t>
        </is>
      </c>
      <c r="B20" s="8" t="inlineStr">
        <is>
          <t xml:space="preserve">  IP機材レンタル　ヒーリング456.500</t>
        </is>
      </c>
      <c r="C20" s="9" t="n">
        <v>456500</v>
      </c>
      <c r="D20" s="9" t="n">
        <v>456500</v>
      </c>
      <c r="E20" s="9" t="n">
        <v>456500</v>
      </c>
      <c r="F20" s="9" t="n">
        <v>308550</v>
      </c>
      <c r="G20" s="9" t="n">
        <v>308550</v>
      </c>
      <c r="H20" s="9" t="n">
        <v>308550</v>
      </c>
      <c r="I20" s="10">
        <f>SUM(C20:H20)</f>
        <v/>
      </c>
    </row>
    <row r="21" ht="13" customHeight="1">
      <c r="A21" s="8" t="inlineStr">
        <is>
          <t>末</t>
        </is>
      </c>
      <c r="B21" s="8" t="inlineStr">
        <is>
          <t xml:space="preserve">  什器レンタル　ヒーリング　44.000</t>
        </is>
      </c>
      <c r="C21" s="9" t="n">
        <v>44000</v>
      </c>
      <c r="D21" s="9" t="n">
        <v>44000</v>
      </c>
      <c r="E21" s="9" t="n">
        <v>44000</v>
      </c>
      <c r="F21" s="9" t="n">
        <v>42900</v>
      </c>
      <c r="G21" s="9" t="n">
        <v>42900</v>
      </c>
      <c r="H21" s="9" t="n">
        <v>42900</v>
      </c>
      <c r="I21" s="10">
        <f>SUM(C21:H21)</f>
        <v/>
      </c>
    </row>
    <row r="22" ht="13" customHeight="1">
      <c r="A22" s="8" t="inlineStr">
        <is>
          <t>27</t>
        </is>
      </c>
      <c r="B22" s="8" t="inlineStr">
        <is>
          <t xml:space="preserve">  オリエント　O2　71回払い</t>
        </is>
      </c>
      <c r="C22" s="14" t="n">
        <v>60500</v>
      </c>
      <c r="D22" s="14" t="n">
        <v>60500</v>
      </c>
      <c r="E22" s="14" t="n">
        <v>60500</v>
      </c>
      <c r="F22" s="14" t="n">
        <v>60500</v>
      </c>
      <c r="G22" s="14" t="n">
        <v>60500</v>
      </c>
      <c r="H22" s="14" t="n">
        <v>60500</v>
      </c>
      <c r="I22" s="10">
        <f>SUM(C22:H22)</f>
        <v/>
      </c>
    </row>
    <row r="23" ht="13" customHeight="1">
      <c r="A23" s="8" t="inlineStr"/>
      <c r="B23" s="8" t="inlineStr">
        <is>
          <t xml:space="preserve">  ㈱QuietHills　販売商品</t>
        </is>
      </c>
      <c r="C23" s="9" t="n">
        <v>48164</v>
      </c>
      <c r="D23" s="9" t="n">
        <v>41639</v>
      </c>
      <c r="E23" s="9" t="n">
        <v>60083</v>
      </c>
      <c r="F23" s="9" t="n">
        <v>36496</v>
      </c>
      <c r="G23" s="9" t="n">
        <v>61569</v>
      </c>
      <c r="H23" s="9" t="n">
        <v>14790</v>
      </c>
      <c r="I23" s="10">
        <f>SUM(C23:H23)</f>
        <v/>
      </c>
    </row>
    <row r="24" ht="13" customHeight="1">
      <c r="A24" s="8" t="inlineStr"/>
      <c r="B24" s="8" t="inlineStr">
        <is>
          <t xml:space="preserve">  なるおかサイクル</t>
        </is>
      </c>
      <c r="C24" s="9" t="n"/>
      <c r="D24" s="9" t="n"/>
      <c r="E24" s="9" t="n"/>
      <c r="F24" s="9" t="n">
        <v>35970</v>
      </c>
      <c r="G24" s="9" t="n"/>
      <c r="H24" s="9" t="n"/>
      <c r="I24" s="10">
        <f>SUM(C24:H24)</f>
        <v/>
      </c>
    </row>
    <row r="25" ht="1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3" t="n"/>
    </row>
    <row r="26" ht="14" customHeight="1">
      <c r="A26" s="4" t="n"/>
      <c r="B26" s="5" t="inlineStr">
        <is>
          <t>▶ 通信費</t>
        </is>
      </c>
      <c r="C26" s="6">
        <f>SUM(C27:C29)</f>
        <v/>
      </c>
      <c r="D26" s="6">
        <f>SUM(D27:D29)</f>
        <v/>
      </c>
      <c r="E26" s="6">
        <f>SUM(E27:E29)</f>
        <v/>
      </c>
      <c r="F26" s="6">
        <f>SUM(F27:F29)</f>
        <v/>
      </c>
      <c r="G26" s="6">
        <f>SUM(G27:G29)</f>
        <v/>
      </c>
      <c r="H26" s="6">
        <f>SUM(H27:H29)</f>
        <v/>
      </c>
      <c r="I26" s="7">
        <f>SUM(I27:I29)</f>
        <v/>
      </c>
    </row>
    <row r="27" ht="13" customHeight="1">
      <c r="A27" s="8" t="inlineStr"/>
      <c r="B27" s="8" t="inlineStr">
        <is>
          <t xml:space="preserve">  携帯</t>
        </is>
      </c>
      <c r="C27" s="14" t="n">
        <v>4800</v>
      </c>
      <c r="D27" s="14" t="n">
        <v>4800</v>
      </c>
      <c r="E27" s="14" t="n">
        <v>4800</v>
      </c>
      <c r="F27" s="14" t="n">
        <v>4800</v>
      </c>
      <c r="G27" s="14" t="n">
        <v>4800</v>
      </c>
      <c r="H27" s="14" t="n">
        <v>4800</v>
      </c>
      <c r="I27" s="10">
        <f>SUM(C27:H27)</f>
        <v/>
      </c>
    </row>
    <row r="28" ht="13" customHeight="1">
      <c r="A28" s="8" t="inlineStr"/>
      <c r="B28" s="8" t="inlineStr">
        <is>
          <t xml:space="preserve">  施設利用　通信警備入金機音響サーバー</t>
        </is>
      </c>
      <c r="C28" s="14" t="n">
        <v>34638</v>
      </c>
      <c r="D28" s="14" t="n">
        <v>34638</v>
      </c>
      <c r="E28" s="14" t="n">
        <v>34638</v>
      </c>
      <c r="F28" s="14" t="n">
        <v>34638</v>
      </c>
      <c r="G28" s="14" t="n">
        <v>34638</v>
      </c>
      <c r="H28" s="14" t="n">
        <v>34638</v>
      </c>
      <c r="I28" s="10">
        <f>SUM(C28:H28)</f>
        <v/>
      </c>
    </row>
    <row r="29" ht="1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3" t="n"/>
    </row>
    <row r="30" ht="14" customHeight="1">
      <c r="A30" s="4" t="n"/>
      <c r="B30" s="5" t="inlineStr">
        <is>
          <t>▶ 雑費　消耗品　修繕費　その他</t>
        </is>
      </c>
      <c r="C30" s="6">
        <f>SUM(C31:C33)</f>
        <v/>
      </c>
      <c r="D30" s="6">
        <f>SUM(D31:D33)</f>
        <v/>
      </c>
      <c r="E30" s="6">
        <f>SUM(E31:E33)</f>
        <v/>
      </c>
      <c r="F30" s="6">
        <f>SUM(F31:F33)</f>
        <v/>
      </c>
      <c r="G30" s="6">
        <f>SUM(G31:G33)</f>
        <v/>
      </c>
      <c r="H30" s="6">
        <f>SUM(H31:H33)</f>
        <v/>
      </c>
      <c r="I30" s="7">
        <f>SUM(I31:I33)</f>
        <v/>
      </c>
    </row>
    <row r="31" ht="13" customHeight="1">
      <c r="A31" s="8" t="inlineStr"/>
      <c r="B31" s="8" t="inlineStr">
        <is>
          <t xml:space="preserve">  清芳屋</t>
        </is>
      </c>
      <c r="C31" s="9" t="n">
        <v>3780</v>
      </c>
      <c r="D31" s="9" t="n"/>
      <c r="E31" s="9" t="n"/>
      <c r="F31" s="9" t="n"/>
      <c r="G31" s="9" t="n"/>
      <c r="H31" s="9" t="n"/>
      <c r="I31" s="10">
        <f>SUM(C31:H31)</f>
        <v/>
      </c>
    </row>
    <row r="32" ht="13" customHeight="1">
      <c r="A32" s="8" t="inlineStr">
        <is>
          <t>10</t>
        </is>
      </c>
      <c r="B32" s="8" t="inlineStr">
        <is>
          <t xml:space="preserve">  ホクエー　テーブルクロス</t>
        </is>
      </c>
      <c r="C32" s="9" t="n"/>
      <c r="D32" s="9" t="n"/>
      <c r="E32" s="9" t="n"/>
      <c r="F32" s="9" t="n"/>
      <c r="G32" s="9" t="n">
        <v>34320</v>
      </c>
      <c r="H32" s="9" t="n"/>
      <c r="I32" s="10">
        <f>SUM(C32:H32)</f>
        <v/>
      </c>
    </row>
    <row r="33" ht="1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3" t="n"/>
    </row>
    <row r="34" ht="14" customHeight="1">
      <c r="A34" s="4" t="n"/>
      <c r="B34" s="5" t="inlineStr">
        <is>
          <t>▶ 広告宣伝費</t>
        </is>
      </c>
      <c r="C34" s="6">
        <f>SUM(C35:C36)</f>
        <v/>
      </c>
      <c r="D34" s="6">
        <f>SUM(D35:D36)</f>
        <v/>
      </c>
      <c r="E34" s="6">
        <f>SUM(E35:E36)</f>
        <v/>
      </c>
      <c r="F34" s="6">
        <f>SUM(F35:F36)</f>
        <v/>
      </c>
      <c r="G34" s="6">
        <f>SUM(G35:G36)</f>
        <v/>
      </c>
      <c r="H34" s="6">
        <f>SUM(H35:H36)</f>
        <v/>
      </c>
      <c r="I34" s="7">
        <f>SUM(I35:I36)</f>
        <v/>
      </c>
    </row>
    <row r="35" ht="13" customHeight="1">
      <c r="A35" s="8" t="inlineStr"/>
      <c r="B35" s="8" t="inlineStr">
        <is>
          <t xml:space="preserve">  リクルート　ポイント</t>
        </is>
      </c>
      <c r="C35" s="9" t="n">
        <v>1440</v>
      </c>
      <c r="D35" s="9" t="n"/>
      <c r="E35" s="9" t="n">
        <v>1150</v>
      </c>
      <c r="F35" s="9" t="n"/>
      <c r="G35" s="9" t="n">
        <v>1690</v>
      </c>
      <c r="H35" s="9" t="n">
        <v>1800</v>
      </c>
      <c r="I35" s="10">
        <f>SUM(C35:H35)</f>
        <v/>
      </c>
    </row>
    <row r="36" ht="12" customHeight="1">
      <c r="A36" s="11" t="n"/>
      <c r="B36" s="11" t="n"/>
      <c r="C36" s="12" t="n"/>
      <c r="D36" s="12" t="n"/>
      <c r="E36" s="12" t="n"/>
      <c r="F36" s="12" t="n"/>
      <c r="G36" s="12" t="n"/>
      <c r="H36" s="12" t="n"/>
      <c r="I36" s="13" t="n"/>
    </row>
    <row r="37" ht="15" customHeight="1">
      <c r="A37" s="15" t="n"/>
      <c r="B37" s="16" t="inlineStr">
        <is>
          <t>① 支出合計</t>
        </is>
      </c>
      <c r="C37" s="17">
        <f>C4+C10+C14+C19+C26+C30+C34</f>
        <v/>
      </c>
      <c r="D37" s="17">
        <f>D4+D10+D14+D19+D26+D30+D34</f>
        <v/>
      </c>
      <c r="E37" s="17">
        <f>E4+E10+E14+E19+E26+E30+E34</f>
        <v/>
      </c>
      <c r="F37" s="17">
        <f>F4+F10+F14+F19+F26+F30+F34</f>
        <v/>
      </c>
      <c r="G37" s="17">
        <f>G4+G10+G14+G19+G26+G30+G34</f>
        <v/>
      </c>
      <c r="H37" s="17">
        <f>H4+H10+H14+H19+H26+H30+H34</f>
        <v/>
      </c>
      <c r="I37" s="7">
        <f>I4+I10+I14+I19+I26+I30+I34</f>
        <v/>
      </c>
    </row>
    <row r="39" ht="16" customHeight="1">
      <c r="A39" s="18" t="inlineStr">
        <is>
          <t>【 ② 収　入（売上・粗利・雑収入など） 】</t>
        </is>
      </c>
    </row>
    <row r="40" ht="14" customHeight="1">
      <c r="A40" s="19" t="n"/>
      <c r="B40" s="20" t="inlineStr">
        <is>
          <t>▶ 収入・支出項目</t>
        </is>
      </c>
      <c r="C40" s="21">
        <f>SUM(C41:C54)</f>
        <v/>
      </c>
      <c r="D40" s="21">
        <f>SUM(D41:D54)</f>
        <v/>
      </c>
      <c r="E40" s="21">
        <f>SUM(E41:E54)</f>
        <v/>
      </c>
      <c r="F40" s="21">
        <f>SUM(F41:F54)</f>
        <v/>
      </c>
      <c r="G40" s="21">
        <f>SUM(G41:G54)</f>
        <v/>
      </c>
      <c r="H40" s="21">
        <f>SUM(H41:H54)</f>
        <v/>
      </c>
      <c r="I40" s="7">
        <f>SUM(I41:I54)</f>
        <v/>
      </c>
    </row>
    <row r="41" ht="13" customHeight="1">
      <c r="A41" s="22" t="inlineStr">
        <is>
          <t>1週目</t>
        </is>
      </c>
      <c r="B41" s="22" t="inlineStr">
        <is>
          <t xml:space="preserve">  売上入金</t>
        </is>
      </c>
      <c r="C41" s="23" t="n">
        <v>42561</v>
      </c>
      <c r="D41" s="23" t="n">
        <v>69404</v>
      </c>
      <c r="E41" s="23" t="n">
        <v>121794</v>
      </c>
      <c r="F41" s="23" t="n">
        <v>25691</v>
      </c>
      <c r="G41" s="23" t="n">
        <v>26303</v>
      </c>
      <c r="H41" s="23" t="n">
        <v>53020</v>
      </c>
      <c r="I41" s="10">
        <f>SUM(C41:H41)</f>
        <v/>
      </c>
    </row>
    <row r="42" ht="13" customHeight="1">
      <c r="A42" s="22" t="inlineStr">
        <is>
          <t>2週目</t>
        </is>
      </c>
      <c r="B42" s="22" t="inlineStr">
        <is>
          <t xml:space="preserve">  売上入金</t>
        </is>
      </c>
      <c r="C42" s="23" t="n">
        <v>34615</v>
      </c>
      <c r="D42" s="23" t="n">
        <v>40667</v>
      </c>
      <c r="E42" s="23" t="n">
        <v>35606</v>
      </c>
      <c r="F42" s="23" t="n">
        <v>42374</v>
      </c>
      <c r="G42" s="23" t="n">
        <v>34202</v>
      </c>
      <c r="H42" s="23" t="n">
        <v>14800</v>
      </c>
      <c r="I42" s="10">
        <f>SUM(C42:H42)</f>
        <v/>
      </c>
    </row>
    <row r="43" ht="13" customHeight="1">
      <c r="A43" s="22" t="inlineStr">
        <is>
          <t>3週目</t>
        </is>
      </c>
      <c r="B43" s="22" t="inlineStr">
        <is>
          <t xml:space="preserve">  売上入金</t>
        </is>
      </c>
      <c r="C43" s="23" t="n">
        <v>23582</v>
      </c>
      <c r="D43" s="23" t="n">
        <v>57251</v>
      </c>
      <c r="E43" s="23" t="n">
        <v>30638</v>
      </c>
      <c r="F43" s="23" t="n">
        <v>64646</v>
      </c>
      <c r="G43" s="23" t="n">
        <v>16188</v>
      </c>
      <c r="H43" s="23" t="n">
        <v>50482</v>
      </c>
      <c r="I43" s="10">
        <f>SUM(C43:H43)</f>
        <v/>
      </c>
    </row>
    <row r="44" ht="13" customHeight="1">
      <c r="A44" s="22" t="inlineStr">
        <is>
          <t>4週目</t>
        </is>
      </c>
      <c r="B44" s="22" t="inlineStr">
        <is>
          <t xml:space="preserve">  売上入金</t>
        </is>
      </c>
      <c r="C44" s="23" t="n">
        <v>101141</v>
      </c>
      <c r="D44" s="23" t="n">
        <v>43443</v>
      </c>
      <c r="E44" s="23" t="n">
        <v>54220</v>
      </c>
      <c r="F44" s="23" t="n">
        <v>19800</v>
      </c>
      <c r="G44" s="23" t="n">
        <v>32686</v>
      </c>
      <c r="H44" s="23" t="n">
        <v>62069</v>
      </c>
      <c r="I44" s="10">
        <f>SUM(C44:H44)</f>
        <v/>
      </c>
    </row>
    <row r="45" ht="13" customHeight="1">
      <c r="A45" s="22" t="inlineStr">
        <is>
          <t>5週目</t>
        </is>
      </c>
      <c r="B45" s="22" t="inlineStr">
        <is>
          <t xml:space="preserve">  売上入金</t>
        </is>
      </c>
      <c r="C45" s="23" t="n">
        <v>32446</v>
      </c>
      <c r="D45" s="23" t="n"/>
      <c r="E45" s="23" t="n"/>
      <c r="F45" s="23" t="n">
        <v>97378</v>
      </c>
      <c r="G45" s="23" t="n"/>
      <c r="H45" s="23" t="n"/>
      <c r="I45" s="10">
        <f>SUM(C45:H45)</f>
        <v/>
      </c>
    </row>
    <row r="46" ht="13" customHeight="1">
      <c r="A46" s="22" t="inlineStr">
        <is>
          <t>8</t>
        </is>
      </c>
      <c r="B46" s="22" t="inlineStr">
        <is>
          <t xml:space="preserve">  電算システム(IP月会費口座引落）</t>
        </is>
      </c>
      <c r="C46" s="23" t="n">
        <v>204710</v>
      </c>
      <c r="D46" s="23" t="n">
        <v>99110</v>
      </c>
      <c r="E46" s="23" t="n">
        <v>99110</v>
      </c>
      <c r="F46" s="23" t="n">
        <v>99110</v>
      </c>
      <c r="G46" s="23" t="n">
        <v>99110</v>
      </c>
      <c r="H46" s="23" t="n">
        <v>102850</v>
      </c>
      <c r="I46" s="10">
        <f>SUM(C46:H46)</f>
        <v/>
      </c>
    </row>
    <row r="47" ht="13" customHeight="1">
      <c r="A47" s="22" t="inlineStr">
        <is>
          <t>25</t>
        </is>
      </c>
      <c r="B47" s="22" t="inlineStr">
        <is>
          <t xml:space="preserve">  STORES予約(IP会費クレジット不動）</t>
        </is>
      </c>
      <c r="C47" s="23" t="n">
        <v>425759</v>
      </c>
      <c r="D47" s="23" t="n">
        <v>367178</v>
      </c>
      <c r="E47" s="23" t="n">
        <v>368224</v>
      </c>
      <c r="F47" s="23" t="n">
        <v>311734</v>
      </c>
      <c r="G47" s="23" t="n">
        <v>406407</v>
      </c>
      <c r="H47" s="23" t="n">
        <v>373456</v>
      </c>
      <c r="I47" s="10">
        <f>SUM(C47:H47)</f>
        <v/>
      </c>
    </row>
    <row r="48" ht="13" customHeight="1">
      <c r="A48" s="22" t="inlineStr">
        <is>
          <t>3</t>
        </is>
      </c>
      <c r="B48" s="22" t="inlineStr">
        <is>
          <t xml:space="preserve">  PAYPAY（不動産口座　IP共通）</t>
        </is>
      </c>
      <c r="C48" s="23" t="n">
        <v>86880</v>
      </c>
      <c r="D48" s="23" t="n">
        <v>79795</v>
      </c>
      <c r="E48" s="23" t="n">
        <v>11891</v>
      </c>
      <c r="F48" s="23" t="n">
        <v>74310</v>
      </c>
      <c r="G48" s="23" t="n">
        <v>27671</v>
      </c>
      <c r="H48" s="23" t="n">
        <v>42010</v>
      </c>
      <c r="I48" s="10">
        <f>SUM(C48:H48)</f>
        <v/>
      </c>
    </row>
    <row r="49" ht="13" customHeight="1">
      <c r="A49" s="22" t="inlineStr">
        <is>
          <t>20</t>
        </is>
      </c>
      <c r="B49" s="22" t="inlineStr">
        <is>
          <t xml:space="preserve">  ストアーズ決済（不動産口座　IP）</t>
        </is>
      </c>
      <c r="C49" s="23" t="n">
        <v>163443</v>
      </c>
      <c r="D49" s="23" t="n">
        <v>168777</v>
      </c>
      <c r="E49" s="23" t="n">
        <v>294655</v>
      </c>
      <c r="F49" s="23" t="n">
        <v>109140</v>
      </c>
      <c r="G49" s="23" t="n">
        <v>148815</v>
      </c>
      <c r="H49" s="23" t="n">
        <v>73483</v>
      </c>
      <c r="I49" s="10">
        <f>SUM(C49:H49)</f>
        <v/>
      </c>
    </row>
    <row r="50" ht="13" customHeight="1">
      <c r="A50" s="22" t="inlineStr"/>
      <c r="B50" s="22" t="inlineStr">
        <is>
          <t xml:space="preserve">  法人会員（グループ52.800円3社）</t>
        </is>
      </c>
      <c r="C50" s="24" t="n">
        <v>158400</v>
      </c>
      <c r="D50" s="24" t="n">
        <v>158400</v>
      </c>
      <c r="E50" s="24" t="n">
        <v>158400</v>
      </c>
      <c r="F50" s="24" t="n">
        <v>158400</v>
      </c>
      <c r="G50" s="24" t="n">
        <v>158400</v>
      </c>
      <c r="H50" s="24" t="n"/>
      <c r="I50" s="10">
        <f>SUM(C50:H50)</f>
        <v/>
      </c>
    </row>
    <row r="51" ht="13" customHeight="1">
      <c r="A51" s="22" t="inlineStr"/>
      <c r="B51" s="22" t="inlineStr">
        <is>
          <t xml:space="preserve">  法人会員（グループ52.800円2社）</t>
        </is>
      </c>
      <c r="C51" s="23" t="n"/>
      <c r="D51" s="23" t="n"/>
      <c r="E51" s="23" t="n"/>
      <c r="F51" s="23" t="n"/>
      <c r="G51" s="23" t="n"/>
      <c r="H51" s="23" t="n">
        <v>105600</v>
      </c>
      <c r="I51" s="10">
        <f>SUM(C51:H51)</f>
        <v/>
      </c>
    </row>
    <row r="52" ht="13" customHeight="1">
      <c r="A52" s="22" t="inlineStr"/>
      <c r="B52" s="22" t="inlineStr">
        <is>
          <t xml:space="preserve">  ポイント</t>
        </is>
      </c>
      <c r="C52" s="23" t="n"/>
      <c r="D52" s="23" t="n">
        <v>900</v>
      </c>
      <c r="E52" s="23" t="n"/>
      <c r="F52" s="23" t="n"/>
      <c r="G52" s="23" t="n"/>
      <c r="H52" s="23" t="n"/>
      <c r="I52" s="10">
        <f>SUM(C52:H52)</f>
        <v/>
      </c>
    </row>
    <row r="53" ht="13" customHeight="1">
      <c r="A53" s="22" t="inlineStr">
        <is>
          <t>13</t>
        </is>
      </c>
      <c r="B53" s="22" t="inlineStr">
        <is>
          <t xml:space="preserve">  その他（ストアーズ返金）</t>
        </is>
      </c>
      <c r="C53" s="23" t="n"/>
      <c r="D53" s="23" t="n">
        <v>4950</v>
      </c>
      <c r="E53" s="23" t="n"/>
      <c r="F53" s="23" t="n"/>
      <c r="G53" s="23" t="n"/>
      <c r="H53" s="23" t="n"/>
      <c r="I53" s="10">
        <f>SUM(C53:H53)</f>
        <v/>
      </c>
    </row>
    <row r="54" ht="12" customHeight="1">
      <c r="A54" s="25" t="n"/>
      <c r="B54" s="25" t="n"/>
      <c r="C54" s="26" t="n"/>
      <c r="D54" s="26" t="n"/>
      <c r="E54" s="26" t="n"/>
      <c r="F54" s="26" t="n"/>
      <c r="G54" s="26" t="n"/>
      <c r="H54" s="26" t="n"/>
      <c r="I54" s="13" t="n"/>
    </row>
    <row r="55" ht="15" customHeight="1">
      <c r="A55" s="27" t="n"/>
      <c r="B55" s="28" t="inlineStr">
        <is>
          <t>② 収入合計</t>
        </is>
      </c>
      <c r="C55" s="29">
        <f>C40</f>
        <v/>
      </c>
      <c r="D55" s="29">
        <f>D40</f>
        <v/>
      </c>
      <c r="E55" s="29">
        <f>E40</f>
        <v/>
      </c>
      <c r="F55" s="29">
        <f>F40</f>
        <v/>
      </c>
      <c r="G55" s="29">
        <f>G40</f>
        <v/>
      </c>
      <c r="H55" s="29">
        <f>H40</f>
        <v/>
      </c>
      <c r="I55" s="7">
        <f>I40</f>
        <v/>
      </c>
    </row>
    <row r="57" ht="22" customHeight="1">
      <c r="A57" s="30" t="n"/>
      <c r="B57" s="31" t="inlineStr">
        <is>
          <t>① 経　費</t>
        </is>
      </c>
      <c r="C57" s="32">
        <f>C37</f>
        <v/>
      </c>
      <c r="D57" s="32">
        <f>D37</f>
        <v/>
      </c>
      <c r="E57" s="32">
        <f>E37</f>
        <v/>
      </c>
      <c r="F57" s="32">
        <f>F37</f>
        <v/>
      </c>
      <c r="G57" s="32">
        <f>G37</f>
        <v/>
      </c>
      <c r="H57" s="32">
        <f>H37</f>
        <v/>
      </c>
      <c r="I57" s="32">
        <f>I37</f>
        <v/>
      </c>
    </row>
    <row r="58" ht="22" customHeight="1">
      <c r="A58" s="33" t="n"/>
      <c r="B58" s="34" t="inlineStr">
        <is>
          <t>② 収　入</t>
        </is>
      </c>
      <c r="C58" s="35">
        <f>C55</f>
        <v/>
      </c>
      <c r="D58" s="35">
        <f>D55</f>
        <v/>
      </c>
      <c r="E58" s="35">
        <f>E55</f>
        <v/>
      </c>
      <c r="F58" s="35">
        <f>F55</f>
        <v/>
      </c>
      <c r="G58" s="35">
        <f>G55</f>
        <v/>
      </c>
      <c r="H58" s="35">
        <f>H55</f>
        <v/>
      </c>
      <c r="I58" s="35">
        <f>I55</f>
        <v/>
      </c>
    </row>
    <row r="59" ht="22" customHeight="1">
      <c r="A59" s="36" t="n"/>
      <c r="B59" s="37" t="inlineStr">
        <is>
          <t>③ 収　支  ②－①</t>
        </is>
      </c>
      <c r="C59" s="38">
        <f>C55-C37</f>
        <v/>
      </c>
      <c r="D59" s="38">
        <f>D55-D37</f>
        <v/>
      </c>
      <c r="E59" s="38">
        <f>E55-E37</f>
        <v/>
      </c>
      <c r="F59" s="38">
        <f>F55-F37</f>
        <v/>
      </c>
      <c r="G59" s="38">
        <f>G55-G37</f>
        <v/>
      </c>
      <c r="H59" s="38">
        <f>H55-H37</f>
        <v/>
      </c>
      <c r="I59" s="38">
        <f>I55-I37</f>
        <v/>
      </c>
    </row>
  </sheetData>
  <mergeCells count="3">
    <mergeCell ref="A1:I1"/>
    <mergeCell ref="A3:I3"/>
    <mergeCell ref="A39:I3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D7D31"/>
    <outlinePr summaryBelow="1" summaryRight="1"/>
    <pageSetUpPr/>
  </sheetPr>
  <dimension ref="A1:K51"/>
  <sheetViews>
    <sheetView zoomScale="13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⑧ ボディケア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R8.6月</t>
        </is>
      </c>
      <c r="I2" s="2" t="inlineStr">
        <is>
          <t>下期累計</t>
        </is>
      </c>
      <c r="J2" s="2" t="inlineStr">
        <is>
          <t>上期累計</t>
        </is>
      </c>
      <c r="K2" s="2" t="inlineStr">
        <is>
          <t>通期合計</t>
        </is>
      </c>
    </row>
    <row r="3" ht="16" customHeight="1">
      <c r="A3" s="3" t="inlineStr">
        <is>
          <t>【 支　出 】</t>
        </is>
      </c>
    </row>
    <row r="4" ht="14" customHeight="1">
      <c r="A4" s="4" t="n"/>
      <c r="B4" s="5" t="inlineStr">
        <is>
          <t>▶ 給与・法定福利・福利</t>
        </is>
      </c>
      <c r="C4" s="6">
        <f>SUM(C5:C7)</f>
        <v/>
      </c>
      <c r="D4" s="6">
        <f>SUM(D5:D7)</f>
        <v/>
      </c>
      <c r="E4" s="6">
        <f>SUM(E5:E7)</f>
        <v/>
      </c>
      <c r="F4" s="6">
        <f>SUM(F5:F7)</f>
        <v/>
      </c>
      <c r="G4" s="6">
        <f>SUM(G5:G7)</f>
        <v/>
      </c>
      <c r="H4" s="6">
        <f>SUM(H5:H7)</f>
        <v/>
      </c>
      <c r="I4" s="7">
        <f>SUM(I5:I7)</f>
        <v/>
      </c>
      <c r="J4" s="39">
        <f>SUM(J5:J7)</f>
        <v/>
      </c>
      <c r="K4" s="40">
        <f>SUM(K5:K7)</f>
        <v/>
      </c>
    </row>
    <row r="5" ht="13" customHeight="1">
      <c r="A5" s="8" t="inlineStr">
        <is>
          <t>20</t>
        </is>
      </c>
      <c r="B5" s="8" t="inlineStr">
        <is>
          <t xml:space="preserve">  給与支給　社員　（中島）</t>
        </is>
      </c>
      <c r="C5" s="9" t="n">
        <v>354161</v>
      </c>
      <c r="D5" s="9" t="n">
        <v>354599</v>
      </c>
      <c r="E5" s="9" t="n">
        <v>354380</v>
      </c>
      <c r="F5" s="9" t="n"/>
      <c r="G5" s="9" t="n"/>
      <c r="H5" s="9" t="n"/>
      <c r="I5" s="10">
        <f>SUM(C5:H5)</f>
        <v/>
      </c>
      <c r="J5" s="41">
        <f>'ボディケア_上期_7-12月'!I5</f>
        <v/>
      </c>
      <c r="K5" s="42">
        <f>I5+J5</f>
        <v/>
      </c>
    </row>
    <row r="6" ht="13" customHeight="1">
      <c r="A6" s="8" t="inlineStr">
        <is>
          <t>20</t>
        </is>
      </c>
      <c r="B6" s="8" t="inlineStr">
        <is>
          <t xml:space="preserve">  社会保険　社員　会社負担</t>
        </is>
      </c>
      <c r="C6" s="9" t="n">
        <v>55624</v>
      </c>
      <c r="D6" s="9" t="n">
        <v>55626</v>
      </c>
      <c r="E6" s="9" t="n">
        <v>55625</v>
      </c>
      <c r="F6" s="9" t="n"/>
      <c r="G6" s="9" t="n"/>
      <c r="H6" s="9" t="n"/>
      <c r="I6" s="10">
        <f>SUM(C6:H6)</f>
        <v/>
      </c>
      <c r="J6" s="41">
        <f>'ボディケア_上期_7-12月'!I6</f>
        <v/>
      </c>
      <c r="K6" s="42">
        <f>I6+J6</f>
        <v/>
      </c>
    </row>
    <row r="7" ht="12" customHeight="1">
      <c r="A7" s="11" t="n"/>
      <c r="B7" s="11" t="n"/>
      <c r="C7" s="12" t="n"/>
      <c r="D7" s="12" t="n"/>
      <c r="E7" s="12" t="n"/>
      <c r="F7" s="12" t="n"/>
      <c r="G7" s="12" t="n"/>
      <c r="H7" s="12" t="n"/>
      <c r="I7" s="13" t="n"/>
      <c r="J7" s="43" t="n"/>
      <c r="K7" s="44" t="n"/>
    </row>
    <row r="8" ht="14" customHeight="1">
      <c r="A8" s="4" t="n"/>
      <c r="B8" s="5" t="inlineStr">
        <is>
          <t>▶ 光熱費</t>
        </is>
      </c>
      <c r="C8" s="6">
        <f>SUM(C9:C11)</f>
        <v/>
      </c>
      <c r="D8" s="6">
        <f>SUM(D9:D11)</f>
        <v/>
      </c>
      <c r="E8" s="6">
        <f>SUM(E9:E11)</f>
        <v/>
      </c>
      <c r="F8" s="6">
        <f>SUM(F9:F11)</f>
        <v/>
      </c>
      <c r="G8" s="6">
        <f>SUM(G9:G11)</f>
        <v/>
      </c>
      <c r="H8" s="6">
        <f>SUM(H9:H11)</f>
        <v/>
      </c>
      <c r="I8" s="7">
        <f>SUM(I9:I11)</f>
        <v/>
      </c>
      <c r="J8" s="39">
        <f>SUM(J9:J11)</f>
        <v/>
      </c>
      <c r="K8" s="40">
        <f>SUM(K9:K11)</f>
        <v/>
      </c>
    </row>
    <row r="9" ht="13" customHeight="1">
      <c r="A9" s="8" t="inlineStr"/>
      <c r="B9" s="8" t="inlineStr">
        <is>
          <t xml:space="preserve">  電気</t>
        </is>
      </c>
      <c r="C9" s="9" t="n">
        <v>18942</v>
      </c>
      <c r="D9" s="9" t="n">
        <v>17832</v>
      </c>
      <c r="E9" s="9" t="n">
        <v>16361</v>
      </c>
      <c r="F9" s="9" t="n"/>
      <c r="G9" s="9" t="n"/>
      <c r="H9" s="9" t="n"/>
      <c r="I9" s="10">
        <f>SUM(C9:H9)</f>
        <v/>
      </c>
      <c r="J9" s="41">
        <f>'ボディケア_上期_7-12月'!I11</f>
        <v/>
      </c>
      <c r="K9" s="42">
        <f>I9+J9</f>
        <v/>
      </c>
    </row>
    <row r="10" ht="13" customHeight="1">
      <c r="A10" s="8" t="inlineStr"/>
      <c r="B10" s="8" t="inlineStr">
        <is>
          <t xml:space="preserve">  ガス　空調</t>
        </is>
      </c>
      <c r="C10" s="9" t="n">
        <v>11966</v>
      </c>
      <c r="D10" s="9" t="n">
        <v>28884</v>
      </c>
      <c r="E10" s="9" t="n">
        <v>34371</v>
      </c>
      <c r="F10" s="9" t="n"/>
      <c r="G10" s="9" t="n"/>
      <c r="H10" s="9" t="n"/>
      <c r="I10" s="10">
        <f>SUM(C10:H10)</f>
        <v/>
      </c>
      <c r="J10" s="41">
        <f>'ボディケア_上期_7-12月'!I12</f>
        <v/>
      </c>
      <c r="K10" s="42">
        <f>I10+J10</f>
        <v/>
      </c>
    </row>
    <row r="11" ht="1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3" t="n"/>
      <c r="J11" s="43" t="n"/>
      <c r="K11" s="44" t="n"/>
    </row>
    <row r="12" ht="14" customHeight="1">
      <c r="A12" s="4" t="n"/>
      <c r="B12" s="5" t="inlineStr">
        <is>
          <t>▶ 銀行返済</t>
        </is>
      </c>
      <c r="C12" s="6">
        <f>SUM(C13:C16)</f>
        <v/>
      </c>
      <c r="D12" s="6">
        <f>SUM(D13:D16)</f>
        <v/>
      </c>
      <c r="E12" s="6">
        <f>SUM(E13:E16)</f>
        <v/>
      </c>
      <c r="F12" s="6">
        <f>SUM(F13:F16)</f>
        <v/>
      </c>
      <c r="G12" s="6">
        <f>SUM(G13:G16)</f>
        <v/>
      </c>
      <c r="H12" s="6">
        <f>SUM(H13:H16)</f>
        <v/>
      </c>
      <c r="I12" s="7">
        <f>SUM(I13:I16)</f>
        <v/>
      </c>
      <c r="J12" s="39">
        <f>SUM(J13:J16)</f>
        <v/>
      </c>
      <c r="K12" s="40">
        <f>SUM(K13:K16)</f>
        <v/>
      </c>
    </row>
    <row r="13" ht="13" customHeight="1">
      <c r="A13" s="8" t="inlineStr">
        <is>
          <t>20</t>
        </is>
      </c>
      <c r="B13" s="8" t="inlineStr">
        <is>
          <t xml:space="preserve">  BLOCK47　ぎしん6000万</t>
        </is>
      </c>
      <c r="C13" s="14" t="n">
        <v>330000</v>
      </c>
      <c r="D13" s="14" t="n">
        <v>330000</v>
      </c>
      <c r="E13" s="14" t="n">
        <v>330000</v>
      </c>
      <c r="F13" s="14" t="n"/>
      <c r="G13" s="14" t="n"/>
      <c r="H13" s="14" t="n"/>
      <c r="I13" s="10">
        <f>SUM(C13:H13)</f>
        <v/>
      </c>
      <c r="J13" s="41">
        <f>'ボディケア_上期_7-12月'!I15</f>
        <v/>
      </c>
      <c r="K13" s="42">
        <f>I13+J13</f>
        <v/>
      </c>
    </row>
    <row r="14" ht="13" customHeight="1">
      <c r="A14" s="8" t="inlineStr"/>
      <c r="B14" s="8" t="inlineStr">
        <is>
          <t xml:space="preserve">  BLOCK47　商信6000万</t>
        </is>
      </c>
      <c r="C14" s="14" t="n">
        <v>330000</v>
      </c>
      <c r="D14" s="14" t="n">
        <v>330000</v>
      </c>
      <c r="E14" s="14" t="n">
        <v>330000</v>
      </c>
      <c r="F14" s="14" t="n"/>
      <c r="G14" s="14" t="n"/>
      <c r="H14" s="14" t="n"/>
      <c r="I14" s="10">
        <f>SUM(C14:H14)</f>
        <v/>
      </c>
      <c r="J14" s="41">
        <f>'ボディケア_上期_7-12月'!I16</f>
        <v/>
      </c>
      <c r="K14" s="42">
        <f>I14+J14</f>
        <v/>
      </c>
    </row>
    <row r="15" ht="13" customHeight="1">
      <c r="A15" s="8" t="inlineStr"/>
      <c r="B15" s="8" t="inlineStr">
        <is>
          <t xml:space="preserve">  IPラウンジ　大共　2000万</t>
        </is>
      </c>
      <c r="C15" s="14" t="n">
        <v>191000</v>
      </c>
      <c r="D15" s="14" t="n">
        <v>191000</v>
      </c>
      <c r="E15" s="14" t="n">
        <v>191000</v>
      </c>
      <c r="F15" s="14" t="n"/>
      <c r="G15" s="14" t="n"/>
      <c r="H15" s="14" t="n"/>
      <c r="I15" s="10">
        <f>SUM(C15:H15)</f>
        <v/>
      </c>
      <c r="J15" s="41">
        <f>'ボディケア_上期_7-12月'!I17</f>
        <v/>
      </c>
      <c r="K15" s="42">
        <f>I15+J15</f>
        <v/>
      </c>
    </row>
    <row r="16" ht="12" customHeight="1">
      <c r="A16" s="11" t="n"/>
      <c r="B16" s="11" t="n"/>
      <c r="C16" s="12" t="n"/>
      <c r="D16" s="12" t="n"/>
      <c r="E16" s="12" t="n"/>
      <c r="F16" s="12" t="n"/>
      <c r="G16" s="12" t="n"/>
      <c r="H16" s="12" t="n"/>
      <c r="I16" s="13" t="n"/>
      <c r="J16" s="43" t="n"/>
      <c r="K16" s="44" t="n"/>
    </row>
    <row r="17" ht="14" customHeight="1">
      <c r="A17" s="4" t="n"/>
      <c r="B17" s="5" t="inlineStr">
        <is>
          <t>▶ IP機材レンタル/仕入れ</t>
        </is>
      </c>
      <c r="C17" s="6">
        <f>SUM(C18:C22)</f>
        <v/>
      </c>
      <c r="D17" s="6">
        <f>SUM(D18:D22)</f>
        <v/>
      </c>
      <c r="E17" s="6">
        <f>SUM(E18:E22)</f>
        <v/>
      </c>
      <c r="F17" s="6">
        <f>SUM(F18:F22)</f>
        <v/>
      </c>
      <c r="G17" s="6">
        <f>SUM(G18:G22)</f>
        <v/>
      </c>
      <c r="H17" s="6">
        <f>SUM(H18:H22)</f>
        <v/>
      </c>
      <c r="I17" s="7">
        <f>SUM(I18:I22)</f>
        <v/>
      </c>
      <c r="J17" s="39">
        <f>SUM(J18:J22)</f>
        <v/>
      </c>
      <c r="K17" s="40">
        <f>SUM(K18:K22)</f>
        <v/>
      </c>
    </row>
    <row r="18" ht="13" customHeight="1">
      <c r="A18" s="8" t="inlineStr">
        <is>
          <t>末</t>
        </is>
      </c>
      <c r="B18" s="8" t="inlineStr">
        <is>
          <t xml:space="preserve">  IP機材レンタル　ヒーリング456.500</t>
        </is>
      </c>
      <c r="C18" s="14" t="n">
        <v>308550</v>
      </c>
      <c r="D18" s="14" t="n">
        <v>308550</v>
      </c>
      <c r="E18" s="14" t="n">
        <v>308550</v>
      </c>
      <c r="F18" s="14" t="n"/>
      <c r="G18" s="14" t="n"/>
      <c r="H18" s="14" t="n"/>
      <c r="I18" s="10">
        <f>SUM(C18:H18)</f>
        <v/>
      </c>
      <c r="J18" s="41">
        <f>'ボディケア_上期_7-12月'!I20</f>
        <v/>
      </c>
      <c r="K18" s="42">
        <f>I18+J18</f>
        <v/>
      </c>
    </row>
    <row r="19" ht="13" customHeight="1">
      <c r="A19" s="8" t="inlineStr">
        <is>
          <t>末</t>
        </is>
      </c>
      <c r="B19" s="8" t="inlineStr">
        <is>
          <t xml:space="preserve">  什器レンタル　ヒーリング　44.000</t>
        </is>
      </c>
      <c r="C19" s="14" t="n">
        <v>42900</v>
      </c>
      <c r="D19" s="14" t="n">
        <v>42900</v>
      </c>
      <c r="E19" s="14" t="n">
        <v>42900</v>
      </c>
      <c r="F19" s="14" t="n"/>
      <c r="G19" s="14" t="n"/>
      <c r="H19" s="14" t="n"/>
      <c r="I19" s="10">
        <f>SUM(C19:H19)</f>
        <v/>
      </c>
      <c r="J19" s="41">
        <f>'ボディケア_上期_7-12月'!I21</f>
        <v/>
      </c>
      <c r="K19" s="42">
        <f>I19+J19</f>
        <v/>
      </c>
    </row>
    <row r="20" ht="13" customHeight="1">
      <c r="A20" s="8" t="inlineStr">
        <is>
          <t>27</t>
        </is>
      </c>
      <c r="B20" s="8" t="inlineStr">
        <is>
          <t xml:space="preserve">  オリエント　O2　71回払い</t>
        </is>
      </c>
      <c r="C20" s="14" t="n">
        <v>60500</v>
      </c>
      <c r="D20" s="14" t="n">
        <v>60500</v>
      </c>
      <c r="E20" s="14" t="n">
        <v>60500</v>
      </c>
      <c r="F20" s="14" t="n"/>
      <c r="G20" s="14" t="n"/>
      <c r="H20" s="14" t="n"/>
      <c r="I20" s="10">
        <f>SUM(C20:H20)</f>
        <v/>
      </c>
      <c r="J20" s="41">
        <f>'ボディケア_上期_7-12月'!I22</f>
        <v/>
      </c>
      <c r="K20" s="42">
        <f>I20+J20</f>
        <v/>
      </c>
    </row>
    <row r="21" ht="13" customHeight="1">
      <c r="A21" s="8" t="inlineStr"/>
      <c r="B21" s="8" t="inlineStr">
        <is>
          <t xml:space="preserve">  ㈱QuietHills　販売商品</t>
        </is>
      </c>
      <c r="C21" s="9" t="n">
        <v>29964</v>
      </c>
      <c r="D21" s="9" t="n">
        <v>196328</v>
      </c>
      <c r="E21" s="9" t="n">
        <v>6323</v>
      </c>
      <c r="F21" s="9" t="n"/>
      <c r="G21" s="9" t="n"/>
      <c r="H21" s="9" t="n"/>
      <c r="I21" s="10">
        <f>SUM(C21:H21)</f>
        <v/>
      </c>
      <c r="J21" s="41">
        <f>'ボディケア_上期_7-12月'!I23</f>
        <v/>
      </c>
      <c r="K21" s="42">
        <f>I21+J21</f>
        <v/>
      </c>
    </row>
    <row r="22" ht="12" customHeight="1">
      <c r="A22" s="11" t="n"/>
      <c r="B22" s="11" t="n"/>
      <c r="C22" s="12" t="n"/>
      <c r="D22" s="12" t="n"/>
      <c r="E22" s="12" t="n"/>
      <c r="F22" s="12" t="n"/>
      <c r="G22" s="12" t="n"/>
      <c r="H22" s="12" t="n"/>
      <c r="I22" s="13" t="n"/>
      <c r="J22" s="43" t="n"/>
      <c r="K22" s="44" t="n"/>
    </row>
    <row r="23" ht="14" customHeight="1">
      <c r="A23" s="4" t="n"/>
      <c r="B23" s="5" t="inlineStr">
        <is>
          <t>▶ 通信費</t>
        </is>
      </c>
      <c r="C23" s="6">
        <f>SUM(C24:C26)</f>
        <v/>
      </c>
      <c r="D23" s="6">
        <f>SUM(D24:D26)</f>
        <v/>
      </c>
      <c r="E23" s="6">
        <f>SUM(E24:E26)</f>
        <v/>
      </c>
      <c r="F23" s="6">
        <f>SUM(F24:F26)</f>
        <v/>
      </c>
      <c r="G23" s="6">
        <f>SUM(G24:G26)</f>
        <v/>
      </c>
      <c r="H23" s="6">
        <f>SUM(H24:H26)</f>
        <v/>
      </c>
      <c r="I23" s="7">
        <f>SUM(I24:I26)</f>
        <v/>
      </c>
      <c r="J23" s="39">
        <f>SUM(J24:J26)</f>
        <v/>
      </c>
      <c r="K23" s="40">
        <f>SUM(K24:K26)</f>
        <v/>
      </c>
    </row>
    <row r="24" ht="13" customHeight="1">
      <c r="A24" s="8" t="inlineStr"/>
      <c r="B24" s="8" t="inlineStr">
        <is>
          <t xml:space="preserve">  携帯</t>
        </is>
      </c>
      <c r="C24" s="14" t="n">
        <v>4800</v>
      </c>
      <c r="D24" s="14" t="n">
        <v>4800</v>
      </c>
      <c r="E24" s="14" t="n">
        <v>4800</v>
      </c>
      <c r="F24" s="14" t="n"/>
      <c r="G24" s="14" t="n"/>
      <c r="H24" s="14" t="n"/>
      <c r="I24" s="10">
        <f>SUM(C24:H24)</f>
        <v/>
      </c>
      <c r="J24" s="41">
        <f>'ボディケア_上期_7-12月'!I27</f>
        <v/>
      </c>
      <c r="K24" s="42">
        <f>I24+J24</f>
        <v/>
      </c>
    </row>
    <row r="25" ht="13" customHeight="1">
      <c r="A25" s="8" t="inlineStr"/>
      <c r="B25" s="8" t="inlineStr">
        <is>
          <t xml:space="preserve">  施設利用　通信警備入金機音響サーバー</t>
        </is>
      </c>
      <c r="C25" s="14" t="n">
        <v>34638</v>
      </c>
      <c r="D25" s="14" t="n">
        <v>34638</v>
      </c>
      <c r="E25" s="14" t="n">
        <v>34638</v>
      </c>
      <c r="F25" s="14" t="n"/>
      <c r="G25" s="14" t="n"/>
      <c r="H25" s="14" t="n"/>
      <c r="I25" s="10">
        <f>SUM(C25:H25)</f>
        <v/>
      </c>
      <c r="J25" s="41">
        <f>'ボディケア_上期_7-12月'!I28</f>
        <v/>
      </c>
      <c r="K25" s="42">
        <f>I25+J25</f>
        <v/>
      </c>
    </row>
    <row r="26" ht="12" customHeight="1">
      <c r="A26" s="11" t="n"/>
      <c r="B26" s="11" t="n"/>
      <c r="C26" s="12" t="n"/>
      <c r="D26" s="12" t="n"/>
      <c r="E26" s="12" t="n"/>
      <c r="F26" s="12" t="n"/>
      <c r="G26" s="12" t="n"/>
      <c r="H26" s="12" t="n"/>
      <c r="I26" s="13" t="n"/>
      <c r="J26" s="43" t="n"/>
      <c r="K26" s="44" t="n"/>
    </row>
    <row r="27" ht="14" customHeight="1">
      <c r="A27" s="4" t="n"/>
      <c r="B27" s="5" t="inlineStr">
        <is>
          <t>▶ 広告宣伝費</t>
        </is>
      </c>
      <c r="C27" s="6">
        <f>SUM(C28:C31)</f>
        <v/>
      </c>
      <c r="D27" s="6">
        <f>SUM(D28:D31)</f>
        <v/>
      </c>
      <c r="E27" s="6">
        <f>SUM(E28:E31)</f>
        <v/>
      </c>
      <c r="F27" s="6">
        <f>SUM(F28:F31)</f>
        <v/>
      </c>
      <c r="G27" s="6">
        <f>SUM(G28:G31)</f>
        <v/>
      </c>
      <c r="H27" s="6">
        <f>SUM(H28:H31)</f>
        <v/>
      </c>
      <c r="I27" s="7">
        <f>SUM(I28:I31)</f>
        <v/>
      </c>
      <c r="J27" s="39">
        <f>SUM(J28:J31)</f>
        <v/>
      </c>
      <c r="K27" s="40">
        <f>SUM(K28:K31)</f>
        <v/>
      </c>
    </row>
    <row r="28" ht="13" customHeight="1">
      <c r="A28" s="8" t="inlineStr"/>
      <c r="B28" s="8" t="inlineStr">
        <is>
          <t xml:space="preserve">  創舎</t>
        </is>
      </c>
      <c r="C28" s="9" t="n">
        <v>22000</v>
      </c>
      <c r="D28" s="9" t="n"/>
      <c r="E28" s="9" t="n">
        <v>12100</v>
      </c>
      <c r="F28" s="9" t="n"/>
      <c r="G28" s="9" t="n"/>
      <c r="H28" s="9" t="n"/>
      <c r="I28" s="10">
        <f>SUM(C28:H28)</f>
        <v/>
      </c>
      <c r="J28" s="41" t="n"/>
      <c r="K28" s="42">
        <f>I28+J28</f>
        <v/>
      </c>
    </row>
    <row r="29" ht="13" customHeight="1">
      <c r="A29" s="8" t="inlineStr"/>
      <c r="B29" s="8" t="inlineStr">
        <is>
          <t xml:space="preserve">  リクルート　ポイント</t>
        </is>
      </c>
      <c r="C29" s="9" t="n">
        <v>1300</v>
      </c>
      <c r="D29" s="9" t="n"/>
      <c r="E29" s="9" t="n">
        <v>798</v>
      </c>
      <c r="F29" s="9" t="n"/>
      <c r="G29" s="9" t="n"/>
      <c r="H29" s="9" t="n"/>
      <c r="I29" s="10">
        <f>SUM(C29:H29)</f>
        <v/>
      </c>
      <c r="J29" s="41">
        <f>'ボディケア_上期_7-12月'!I35</f>
        <v/>
      </c>
      <c r="K29" s="42">
        <f>I29+J29</f>
        <v/>
      </c>
    </row>
    <row r="30" ht="13" customHeight="1">
      <c r="A30" s="8" t="inlineStr"/>
      <c r="B30" s="8" t="inlineStr">
        <is>
          <t xml:space="preserve">  リクルート　求人</t>
        </is>
      </c>
      <c r="C30" s="9" t="n"/>
      <c r="D30" s="9" t="n">
        <v>1680</v>
      </c>
      <c r="E30" s="9" t="n"/>
      <c r="F30" s="9" t="n"/>
      <c r="G30" s="9" t="n"/>
      <c r="H30" s="9" t="n"/>
      <c r="I30" s="10">
        <f>SUM(C30:H30)</f>
        <v/>
      </c>
      <c r="J30" s="41" t="n"/>
      <c r="K30" s="42">
        <f>I30+J30</f>
        <v/>
      </c>
    </row>
    <row r="31" ht="1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3" t="n"/>
      <c r="J31" s="43" t="n"/>
      <c r="K31" s="44" t="n"/>
    </row>
    <row r="32" ht="15" customHeight="1">
      <c r="A32" s="15" t="n"/>
      <c r="B32" s="16" t="inlineStr">
        <is>
          <t>① 支出合計</t>
        </is>
      </c>
      <c r="C32" s="17">
        <f>C4+C8+C12+C17+C23+C27</f>
        <v/>
      </c>
      <c r="D32" s="17">
        <f>D4+D8+D12+D17+D23+D27</f>
        <v/>
      </c>
      <c r="E32" s="17">
        <f>E4+E8+E12+E17+E23+E27</f>
        <v/>
      </c>
      <c r="F32" s="17">
        <f>F4+F8+F12+F17+F23+F27</f>
        <v/>
      </c>
      <c r="G32" s="17">
        <f>G4+G8+G12+G17+G23+G27</f>
        <v/>
      </c>
      <c r="H32" s="17">
        <f>H4+H8+H12+H17+H23+H27</f>
        <v/>
      </c>
      <c r="I32" s="7">
        <f>I4+I8+I12+I17+I23+I27</f>
        <v/>
      </c>
      <c r="J32" s="39">
        <f>J4+J8+J12+J17+J23+J27</f>
        <v/>
      </c>
      <c r="K32" s="40">
        <f>K4+K8+K12+K17+K23+K27</f>
        <v/>
      </c>
    </row>
    <row r="34" ht="16" customHeight="1">
      <c r="A34" s="18" t="inlineStr">
        <is>
          <t>【 ② 収　入（売上・粗利・雑収入など） 】</t>
        </is>
      </c>
    </row>
    <row r="35" ht="14" customHeight="1">
      <c r="A35" s="19" t="n"/>
      <c r="B35" s="20" t="inlineStr">
        <is>
          <t>▶ 収入・支出項目</t>
        </is>
      </c>
      <c r="C35" s="21">
        <f>SUM(C36:C46)</f>
        <v/>
      </c>
      <c r="D35" s="21">
        <f>SUM(D36:D46)</f>
        <v/>
      </c>
      <c r="E35" s="21">
        <f>SUM(E36:E46)</f>
        <v/>
      </c>
      <c r="F35" s="21">
        <f>SUM(F36:F46)</f>
        <v/>
      </c>
      <c r="G35" s="21">
        <f>SUM(G36:G46)</f>
        <v/>
      </c>
      <c r="H35" s="21">
        <f>SUM(H36:H46)</f>
        <v/>
      </c>
      <c r="I35" s="7">
        <f>SUM(I36:I46)</f>
        <v/>
      </c>
      <c r="J35" s="39">
        <f>SUM(J36:J46)</f>
        <v/>
      </c>
      <c r="K35" s="40">
        <f>SUM(K36:K46)</f>
        <v/>
      </c>
    </row>
    <row r="36" ht="13" customHeight="1">
      <c r="A36" s="22" t="inlineStr">
        <is>
          <t>1週目</t>
        </is>
      </c>
      <c r="B36" s="22" t="inlineStr">
        <is>
          <t xml:space="preserve">  売上入金</t>
        </is>
      </c>
      <c r="C36" s="23" t="n">
        <v>11679</v>
      </c>
      <c r="D36" s="23" t="n">
        <v>12650</v>
      </c>
      <c r="E36" s="23" t="n">
        <v>36300</v>
      </c>
      <c r="F36" s="23" t="n"/>
      <c r="G36" s="23" t="n"/>
      <c r="H36" s="23" t="n"/>
      <c r="I36" s="10">
        <f>SUM(C36:H36)</f>
        <v/>
      </c>
      <c r="J36" s="41">
        <f>'ボディケア_上期_7-12月'!I41</f>
        <v/>
      </c>
      <c r="K36" s="42">
        <f>I36+J36</f>
        <v/>
      </c>
    </row>
    <row r="37" ht="13" customHeight="1">
      <c r="A37" s="22" t="inlineStr">
        <is>
          <t>2週目</t>
        </is>
      </c>
      <c r="B37" s="22" t="inlineStr">
        <is>
          <t xml:space="preserve">  売上入金</t>
        </is>
      </c>
      <c r="C37" s="23" t="n">
        <v>84326</v>
      </c>
      <c r="D37" s="23" t="n">
        <v>14558</v>
      </c>
      <c r="E37" s="23" t="n">
        <v>41690</v>
      </c>
      <c r="F37" s="23" t="n"/>
      <c r="G37" s="23" t="n"/>
      <c r="H37" s="23" t="n"/>
      <c r="I37" s="10">
        <f>SUM(C37:H37)</f>
        <v/>
      </c>
      <c r="J37" s="41">
        <f>'ボディケア_上期_7-12月'!I42</f>
        <v/>
      </c>
      <c r="K37" s="42">
        <f>I37+J37</f>
        <v/>
      </c>
    </row>
    <row r="38" ht="13" customHeight="1">
      <c r="A38" s="22" t="inlineStr">
        <is>
          <t>3週目</t>
        </is>
      </c>
      <c r="B38" s="22" t="inlineStr">
        <is>
          <t xml:space="preserve">  売上入金</t>
        </is>
      </c>
      <c r="C38" s="23" t="n">
        <v>15225</v>
      </c>
      <c r="D38" s="23" t="n">
        <v>62409</v>
      </c>
      <c r="E38" s="23" t="n">
        <v>38515</v>
      </c>
      <c r="F38" s="23" t="n"/>
      <c r="G38" s="23" t="n"/>
      <c r="H38" s="23" t="n"/>
      <c r="I38" s="10">
        <f>SUM(C38:H38)</f>
        <v/>
      </c>
      <c r="J38" s="41">
        <f>'ボディケア_上期_7-12月'!I43</f>
        <v/>
      </c>
      <c r="K38" s="42">
        <f>I38+J38</f>
        <v/>
      </c>
    </row>
    <row r="39" ht="13" customHeight="1">
      <c r="A39" s="22" t="inlineStr">
        <is>
          <t>4週目</t>
        </is>
      </c>
      <c r="B39" s="22" t="inlineStr">
        <is>
          <t xml:space="preserve">  売上入金</t>
        </is>
      </c>
      <c r="C39" s="23" t="n">
        <v>7080</v>
      </c>
      <c r="D39" s="23" t="n">
        <v>51758</v>
      </c>
      <c r="E39" s="23" t="n">
        <v>36744</v>
      </c>
      <c r="F39" s="23" t="n"/>
      <c r="G39" s="23" t="n"/>
      <c r="H39" s="23" t="n"/>
      <c r="I39" s="10">
        <f>SUM(C39:H39)</f>
        <v/>
      </c>
      <c r="J39" s="41">
        <f>'ボディケア_上期_7-12月'!I44</f>
        <v/>
      </c>
      <c r="K39" s="42">
        <f>I39+J39</f>
        <v/>
      </c>
    </row>
    <row r="40" ht="13" customHeight="1">
      <c r="A40" s="22" t="inlineStr">
        <is>
          <t>5週目</t>
        </is>
      </c>
      <c r="B40" s="22" t="inlineStr">
        <is>
          <t xml:space="preserve">  売上入金</t>
        </is>
      </c>
      <c r="C40" s="23" t="n">
        <v>27888</v>
      </c>
      <c r="D40" s="23" t="n"/>
      <c r="E40" s="23" t="n"/>
      <c r="F40" s="23" t="n"/>
      <c r="G40" s="23" t="n"/>
      <c r="H40" s="23" t="n"/>
      <c r="I40" s="10">
        <f>SUM(C40:H40)</f>
        <v/>
      </c>
      <c r="J40" s="41">
        <f>'ボディケア_上期_7-12月'!I45</f>
        <v/>
      </c>
      <c r="K40" s="42">
        <f>I40+J40</f>
        <v/>
      </c>
    </row>
    <row r="41" ht="13" customHeight="1">
      <c r="A41" s="22" t="inlineStr">
        <is>
          <t>2</t>
        </is>
      </c>
      <c r="B41" s="22" t="inlineStr">
        <is>
          <t xml:space="preserve">  PAYPAY（不動産口座　IP共通）</t>
        </is>
      </c>
      <c r="C41" s="23" t="n">
        <v>42093</v>
      </c>
      <c r="D41" s="23" t="n">
        <v>65801</v>
      </c>
      <c r="E41" s="23" t="n">
        <v>37719</v>
      </c>
      <c r="F41" s="23" t="n"/>
      <c r="G41" s="23" t="n"/>
      <c r="H41" s="23" t="n"/>
      <c r="I41" s="10">
        <f>SUM(C41:H41)</f>
        <v/>
      </c>
      <c r="J41" s="41">
        <f>'ボディケア_上期_7-12月'!I48</f>
        <v/>
      </c>
      <c r="K41" s="42">
        <f>I41+J41</f>
        <v/>
      </c>
    </row>
    <row r="42" ht="13" customHeight="1">
      <c r="A42" s="22" t="inlineStr">
        <is>
          <t>8</t>
        </is>
      </c>
      <c r="B42" s="22" t="inlineStr">
        <is>
          <t xml:space="preserve">  電算システム(IP月会費口座引落）</t>
        </is>
      </c>
      <c r="C42" s="23" t="n">
        <v>96250</v>
      </c>
      <c r="D42" s="23" t="n">
        <v>102850</v>
      </c>
      <c r="E42" s="23" t="n">
        <v>102850</v>
      </c>
      <c r="F42" s="23" t="n"/>
      <c r="G42" s="23" t="n"/>
      <c r="H42" s="23" t="n"/>
      <c r="I42" s="10">
        <f>SUM(C42:H42)</f>
        <v/>
      </c>
      <c r="J42" s="41">
        <f>'ボディケア_上期_7-12月'!I46</f>
        <v/>
      </c>
      <c r="K42" s="42">
        <f>I42+J42</f>
        <v/>
      </c>
    </row>
    <row r="43" ht="13" customHeight="1">
      <c r="A43" s="22" t="inlineStr">
        <is>
          <t>20</t>
        </is>
      </c>
      <c r="B43" s="22" t="inlineStr">
        <is>
          <t xml:space="preserve">  ストアーズ決済（不動産口座　IP）</t>
        </is>
      </c>
      <c r="C43" s="23" t="n">
        <v>70038</v>
      </c>
      <c r="D43" s="23" t="n">
        <v>81731</v>
      </c>
      <c r="E43" s="23" t="n">
        <v>83064</v>
      </c>
      <c r="F43" s="23" t="n"/>
      <c r="G43" s="23" t="n"/>
      <c r="H43" s="23" t="n"/>
      <c r="I43" s="10">
        <f>SUM(C43:H43)</f>
        <v/>
      </c>
      <c r="J43" s="41">
        <f>'ボディケア_上期_7-12月'!I49</f>
        <v/>
      </c>
      <c r="K43" s="42">
        <f>I43+J43</f>
        <v/>
      </c>
    </row>
    <row r="44" ht="13" customHeight="1">
      <c r="A44" s="22" t="inlineStr">
        <is>
          <t>25</t>
        </is>
      </c>
      <c r="B44" s="22" t="inlineStr">
        <is>
          <t xml:space="preserve">  STORES予約(IP会費クレジット不動）</t>
        </is>
      </c>
      <c r="C44" s="23" t="n">
        <v>359856</v>
      </c>
      <c r="D44" s="23" t="n">
        <v>311734</v>
      </c>
      <c r="E44" s="23" t="n">
        <v>311212</v>
      </c>
      <c r="F44" s="23" t="n"/>
      <c r="G44" s="23" t="n"/>
      <c r="H44" s="23" t="n"/>
      <c r="I44" s="10">
        <f>SUM(C44:H44)</f>
        <v/>
      </c>
      <c r="J44" s="41">
        <f>'ボディケア_上期_7-12月'!I47</f>
        <v/>
      </c>
      <c r="K44" s="42">
        <f>I44+J44</f>
        <v/>
      </c>
    </row>
    <row r="45" ht="13" customHeight="1">
      <c r="A45" s="22" t="inlineStr"/>
      <c r="B45" s="22" t="inlineStr">
        <is>
          <t xml:space="preserve">  法人会員（グループ52.800円2社）</t>
        </is>
      </c>
      <c r="C45" s="24" t="n">
        <v>105600</v>
      </c>
      <c r="D45" s="24" t="n">
        <v>105600</v>
      </c>
      <c r="E45" s="24" t="n">
        <v>105600</v>
      </c>
      <c r="F45" s="24" t="n"/>
      <c r="G45" s="24" t="n"/>
      <c r="H45" s="24" t="n"/>
      <c r="I45" s="10">
        <f>SUM(C45:H45)</f>
        <v/>
      </c>
      <c r="J45" s="41">
        <f>'ボディケア_上期_7-12月'!I51</f>
        <v/>
      </c>
      <c r="K45" s="42">
        <f>I45+J45</f>
        <v/>
      </c>
    </row>
    <row r="46" ht="12" customHeight="1">
      <c r="A46" s="25" t="n"/>
      <c r="B46" s="25" t="n"/>
      <c r="C46" s="26" t="n"/>
      <c r="D46" s="26" t="n"/>
      <c r="E46" s="26" t="n"/>
      <c r="F46" s="26" t="n"/>
      <c r="G46" s="26" t="n"/>
      <c r="H46" s="26" t="n"/>
      <c r="I46" s="13" t="n"/>
      <c r="J46" s="43" t="n"/>
      <c r="K46" s="44" t="n"/>
    </row>
    <row r="47" ht="15" customHeight="1">
      <c r="A47" s="27" t="n"/>
      <c r="B47" s="28" t="inlineStr">
        <is>
          <t>② 収入合計</t>
        </is>
      </c>
      <c r="C47" s="29">
        <f>C35</f>
        <v/>
      </c>
      <c r="D47" s="29">
        <f>D35</f>
        <v/>
      </c>
      <c r="E47" s="29">
        <f>E35</f>
        <v/>
      </c>
      <c r="F47" s="29">
        <f>F35</f>
        <v/>
      </c>
      <c r="G47" s="29">
        <f>G35</f>
        <v/>
      </c>
      <c r="H47" s="29">
        <f>H35</f>
        <v/>
      </c>
      <c r="I47" s="7">
        <f>I35</f>
        <v/>
      </c>
      <c r="J47" s="39">
        <f>J35</f>
        <v/>
      </c>
      <c r="K47" s="40">
        <f>K35</f>
        <v/>
      </c>
    </row>
    <row r="49" ht="22" customHeight="1">
      <c r="A49" s="30" t="n"/>
      <c r="B49" s="31" t="inlineStr">
        <is>
          <t>① 経　費</t>
        </is>
      </c>
      <c r="C49" s="32">
        <f>C32</f>
        <v/>
      </c>
      <c r="D49" s="32">
        <f>D32</f>
        <v/>
      </c>
      <c r="E49" s="32">
        <f>E32</f>
        <v/>
      </c>
      <c r="F49" s="32">
        <f>F32</f>
        <v/>
      </c>
      <c r="G49" s="32">
        <f>G32</f>
        <v/>
      </c>
      <c r="H49" s="32">
        <f>H32</f>
        <v/>
      </c>
      <c r="I49" s="32">
        <f>I32</f>
        <v/>
      </c>
      <c r="J49" s="32">
        <f>J32</f>
        <v/>
      </c>
      <c r="K49" s="32">
        <f>K32</f>
        <v/>
      </c>
    </row>
    <row r="50" ht="22" customHeight="1">
      <c r="A50" s="33" t="n"/>
      <c r="B50" s="34" t="inlineStr">
        <is>
          <t>② 収　入</t>
        </is>
      </c>
      <c r="C50" s="35">
        <f>C47</f>
        <v/>
      </c>
      <c r="D50" s="35">
        <f>D47</f>
        <v/>
      </c>
      <c r="E50" s="35">
        <f>E47</f>
        <v/>
      </c>
      <c r="F50" s="35">
        <f>F47</f>
        <v/>
      </c>
      <c r="G50" s="35">
        <f>G47</f>
        <v/>
      </c>
      <c r="H50" s="35">
        <f>H47</f>
        <v/>
      </c>
      <c r="I50" s="35">
        <f>I47</f>
        <v/>
      </c>
      <c r="J50" s="35">
        <f>J47</f>
        <v/>
      </c>
      <c r="K50" s="35">
        <f>K47</f>
        <v/>
      </c>
    </row>
    <row r="51" ht="22" customHeight="1">
      <c r="A51" s="36" t="n"/>
      <c r="B51" s="37" t="inlineStr">
        <is>
          <t>③ 収　支  ②－①</t>
        </is>
      </c>
      <c r="C51" s="38">
        <f>C47-C32</f>
        <v/>
      </c>
      <c r="D51" s="38">
        <f>D47-D32</f>
        <v/>
      </c>
      <c r="E51" s="38">
        <f>E47-E32</f>
        <v/>
      </c>
      <c r="F51" s="38">
        <f>F47-F32</f>
        <v/>
      </c>
      <c r="G51" s="38">
        <f>G47-G32</f>
        <v/>
      </c>
      <c r="H51" s="38">
        <f>H47-H32</f>
        <v/>
      </c>
      <c r="I51" s="38">
        <f>I47-I32</f>
        <v/>
      </c>
      <c r="J51" s="38">
        <f>J47-J32</f>
        <v/>
      </c>
      <c r="K51" s="38">
        <f>K47-K32</f>
        <v/>
      </c>
    </row>
  </sheetData>
  <mergeCells count="3">
    <mergeCell ref="A34:K34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2026-04-22T05:41:40Z</dcterms:created>
  <dcterms:modified xmlns:dcterms="http://purl.org/dc/terms/" xmlns:xsi="http://www.w3.org/2001/XMLSchema-instance" xsi:type="dcterms:W3CDTF">2026-04-22T05:41:42Z</dcterms:modified>
</cp:coreProperties>
</file>