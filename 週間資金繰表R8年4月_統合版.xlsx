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月_資金繰表" sheetId="1" state="visible" r:id="rId1"/>
  </sheets>
  <definedNames>
    <definedName name="_xlnm.Print_Titles" localSheetId="0">'4月_資金繰表'!$1:$2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03366"/>
      <sz val="9"/>
    </font>
    <font>
      <name val="Arial"/>
      <b val="1"/>
      <color rgb="00003366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F4FFF4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/>
      <right/>
      <top style="medium">
        <color rgb="00333333"/>
      </top>
      <bottom/>
    </border>
    <border>
      <left/>
      <right/>
      <top/>
      <bottom style="medium">
        <color rgb="00333333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164" fontId="4" fillId="3" borderId="0" applyAlignment="1" pivotButton="0" quotePrefix="0" xfId="0">
      <alignment horizontal="right" vertical="center"/>
    </xf>
    <xf numFmtId="164" fontId="2" fillId="3" borderId="0" applyAlignment="1" pivotButton="0" quotePrefix="0" xfId="0">
      <alignment horizontal="right" vertical="center"/>
    </xf>
    <xf numFmtId="0" fontId="0" fillId="4" borderId="0" pivotButton="0" quotePrefix="0" xfId="0"/>
    <xf numFmtId="0" fontId="2" fillId="4" borderId="0" applyAlignment="1" pivotButton="0" quotePrefix="0" xfId="0">
      <alignment horizontal="center" vertical="center" wrapText="1"/>
    </xf>
    <xf numFmtId="164" fontId="2" fillId="4" borderId="0" applyAlignment="1" pivotButton="0" quotePrefix="0" xfId="0">
      <alignment horizontal="right" vertical="center"/>
    </xf>
    <xf numFmtId="0" fontId="4" fillId="5" borderId="0" pivotButton="0" quotePrefix="0" xfId="0"/>
    <xf numFmtId="0" fontId="2" fillId="5" borderId="0" applyAlignment="1" pivotButton="0" quotePrefix="0" xfId="0">
      <alignment horizontal="left" vertical="center"/>
    </xf>
    <xf numFmtId="164" fontId="2" fillId="5" borderId="0" applyAlignment="1" pivotButton="0" quotePrefix="0" xfId="0">
      <alignment horizontal="right" vertical="center"/>
    </xf>
    <xf numFmtId="0" fontId="0" fillId="5" borderId="0" pivotButton="0" quotePrefix="0" xfId="0"/>
    <xf numFmtId="0" fontId="0" fillId="6" borderId="2" pivotButton="0" quotePrefix="0" xfId="0"/>
    <xf numFmtId="0" fontId="5" fillId="6" borderId="2" applyAlignment="1" pivotButton="0" quotePrefix="0" xfId="0">
      <alignment horizontal="center" vertical="center" wrapText="1"/>
    </xf>
    <xf numFmtId="164" fontId="5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0" fontId="0" fillId="7" borderId="0" pivotButton="0" quotePrefix="0" xfId="0"/>
    <xf numFmtId="0" fontId="3" fillId="8" borderId="1" applyAlignment="1" pivotButton="0" quotePrefix="0" xfId="0">
      <alignment horizontal="left" vertical="center"/>
    </xf>
    <xf numFmtId="0" fontId="3" fillId="8" borderId="1" pivotButton="0" quotePrefix="0" xfId="0"/>
    <xf numFmtId="0" fontId="3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0" fontId="4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/>
    </xf>
    <xf numFmtId="0" fontId="0" fillId="9" borderId="0" pivotButton="0" quotePrefix="0" xfId="0"/>
    <xf numFmtId="164" fontId="4" fillId="9" borderId="0" applyAlignment="1" pivotButton="0" quotePrefix="0" xfId="0">
      <alignment horizontal="right" vertical="center"/>
    </xf>
    <xf numFmtId="164" fontId="2" fillId="9" borderId="0" applyAlignment="1" pivotButton="0" quotePrefix="0" xfId="0">
      <alignment horizontal="right" vertical="center"/>
    </xf>
    <xf numFmtId="0" fontId="4" fillId="10" borderId="0" pivotButton="0" quotePrefix="0" xfId="0"/>
    <xf numFmtId="0" fontId="2" fillId="10" borderId="0" applyAlignment="1" pivotButton="0" quotePrefix="0" xfId="0">
      <alignment horizontal="left" vertical="center"/>
    </xf>
    <xf numFmtId="0" fontId="0" fillId="10" borderId="0" pivotButton="0" quotePrefix="0" xfId="0"/>
    <xf numFmtId="164" fontId="2" fillId="1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3" customWidth="1" min="25" max="25"/>
  </cols>
  <sheetData>
    <row r="1" ht="28" customHeight="1">
      <c r="A1" s="1" t="inlineStr">
        <is>
          <t>週間資金繰表　令和8年4月　（AMUSE / 大日産業）</t>
        </is>
      </c>
    </row>
    <row r="2" ht="22" customHeight="1">
      <c r="A2" s="2" t="inlineStr">
        <is>
          <t>引落日等</t>
        </is>
      </c>
      <c r="B2" s="2" t="inlineStr">
        <is>
          <t>支払項目</t>
        </is>
      </c>
      <c r="C2" s="2" t="inlineStr">
        <is>
          <t>4/1(水)</t>
        </is>
      </c>
      <c r="D2" s="2" t="inlineStr">
        <is>
          <t>4/2(木)</t>
        </is>
      </c>
      <c r="E2" s="2" t="inlineStr">
        <is>
          <t>4/3(金)</t>
        </is>
      </c>
      <c r="F2" s="2" t="inlineStr">
        <is>
          <t>4/6(月)</t>
        </is>
      </c>
      <c r="G2" s="2" t="inlineStr">
        <is>
          <t>4/7(火)</t>
        </is>
      </c>
      <c r="H2" s="2" t="inlineStr">
        <is>
          <t>4/8(水)</t>
        </is>
      </c>
      <c r="I2" s="2" t="inlineStr">
        <is>
          <t>4/9(木)</t>
        </is>
      </c>
      <c r="J2" s="2" t="inlineStr">
        <is>
          <t>4/10(金)</t>
        </is>
      </c>
      <c r="K2" s="2" t="inlineStr">
        <is>
          <t>4/13(月)</t>
        </is>
      </c>
      <c r="L2" s="2" t="inlineStr">
        <is>
          <t>4/14(火)</t>
        </is>
      </c>
      <c r="M2" s="2" t="inlineStr">
        <is>
          <t>4/15(水)</t>
        </is>
      </c>
      <c r="N2" s="2" t="inlineStr">
        <is>
          <t>4/16(木)</t>
        </is>
      </c>
      <c r="O2" s="2" t="inlineStr">
        <is>
          <t>4/17(金)</t>
        </is>
      </c>
      <c r="P2" s="2" t="inlineStr">
        <is>
          <t>4/20(月)</t>
        </is>
      </c>
      <c r="Q2" s="2" t="inlineStr">
        <is>
          <t>4/21(火)</t>
        </is>
      </c>
      <c r="R2" s="2" t="inlineStr">
        <is>
          <t>4/22(水)</t>
        </is>
      </c>
      <c r="S2" s="2" t="inlineStr">
        <is>
          <t>4/23(木)</t>
        </is>
      </c>
      <c r="T2" s="2" t="inlineStr">
        <is>
          <t>4/24(金)</t>
        </is>
      </c>
      <c r="U2" s="2" t="inlineStr">
        <is>
          <t>4/27(月)</t>
        </is>
      </c>
      <c r="V2" s="2" t="inlineStr">
        <is>
          <t>4/28(火)</t>
        </is>
      </c>
      <c r="W2" s="2" t="inlineStr">
        <is>
          <t>4/29(水)</t>
        </is>
      </c>
      <c r="X2" s="2" t="inlineStr">
        <is>
          <t>4/30(木)</t>
        </is>
      </c>
      <c r="Y2" s="2" t="inlineStr">
        <is>
          <t>月　計</t>
        </is>
      </c>
    </row>
    <row r="4" ht="18" customHeight="1">
      <c r="A4" s="3" t="inlineStr">
        <is>
          <t>■ AMUSE（岐信当座）</t>
        </is>
      </c>
      <c r="B4" s="4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6" t="inlineStr">
        <is>
          <t>前月残: 2,186,099</t>
        </is>
      </c>
      <c r="Y4" s="7" t="n">
        <v>2186099</v>
      </c>
    </row>
    <row r="5" ht="14" customHeight="1">
      <c r="A5" s="8" t="inlineStr">
        <is>
          <t>10日</t>
        </is>
      </c>
      <c r="B5" s="9" t="inlineStr">
        <is>
          <t>NTT</t>
        </is>
      </c>
      <c r="J5" s="10" t="n">
        <v>21004</v>
      </c>
      <c r="U5" s="10" t="n">
        <v>15950</v>
      </c>
      <c r="X5" s="10" t="n">
        <v>6318</v>
      </c>
      <c r="Y5" s="11">
        <f>SUM(C5:X5)</f>
        <v/>
      </c>
    </row>
    <row r="6" ht="14" customHeight="1">
      <c r="A6" s="12" t="inlineStr">
        <is>
          <t>TCリース25日</t>
        </is>
      </c>
      <c r="B6" s="13" t="inlineStr">
        <is>
          <t>NTT（TC）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5" t="n">
        <v>5291</v>
      </c>
      <c r="Y6" s="16">
        <f>SUM(C6:X6)</f>
        <v/>
      </c>
    </row>
    <row r="7" ht="14" customHeight="1">
      <c r="A7" s="8" t="inlineStr"/>
      <c r="B7" s="9" t="inlineStr">
        <is>
          <t>大日IP定額</t>
        </is>
      </c>
      <c r="W7" s="10" t="n">
        <v>52800</v>
      </c>
      <c r="Y7" s="11">
        <f>SUM(C7:X7)</f>
        <v/>
      </c>
    </row>
    <row r="8" ht="14" customHeight="1">
      <c r="A8" s="12" t="inlineStr"/>
      <c r="B8" s="13" t="inlineStr">
        <is>
          <t>KDDI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5" t="n">
        <v>2700</v>
      </c>
      <c r="W8" s="14" t="n"/>
      <c r="X8" s="14" t="n"/>
      <c r="Y8" s="16">
        <f>SUM(C8:X8)</f>
        <v/>
      </c>
    </row>
    <row r="9" ht="14" customHeight="1">
      <c r="A9" s="8" t="inlineStr"/>
      <c r="B9" s="9" t="inlineStr">
        <is>
          <t>大日へ</t>
        </is>
      </c>
      <c r="I9" s="10" t="n">
        <v>440000</v>
      </c>
      <c r="X9" s="10" t="n">
        <v>5000000</v>
      </c>
      <c r="Y9" s="11">
        <f>SUM(C9:X9)</f>
        <v/>
      </c>
    </row>
    <row r="10" ht="14" customHeight="1">
      <c r="A10" s="12" t="inlineStr"/>
      <c r="B10" s="13" t="inlineStr">
        <is>
          <t>テレマーカー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6">
        <f>SUM(C10:X10)</f>
        <v/>
      </c>
    </row>
    <row r="11" ht="14" customHeight="1">
      <c r="A11" s="8" t="inlineStr"/>
      <c r="B11" s="9" t="inlineStr">
        <is>
          <t>山田組</t>
        </is>
      </c>
      <c r="P11" s="10" t="n">
        <v>19360</v>
      </c>
      <c r="Y11" s="11">
        <f>SUM(C11:X11)</f>
        <v/>
      </c>
    </row>
    <row r="12" ht="14" customHeight="1">
      <c r="A12" s="12" t="inlineStr"/>
      <c r="B12" s="13" t="inlineStr">
        <is>
          <t>ブリックス社労士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5" t="n">
        <v>30935</v>
      </c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6">
        <f>SUM(C12:X12)</f>
        <v/>
      </c>
    </row>
    <row r="13" ht="14" customHeight="1">
      <c r="A13" s="8" t="inlineStr"/>
      <c r="B13" s="9" t="inlineStr">
        <is>
          <t>ぎしんBIZ</t>
        </is>
      </c>
      <c r="L13" s="10" t="n">
        <v>3300</v>
      </c>
      <c r="Y13" s="11">
        <f>SUM(C13:X13)</f>
        <v/>
      </c>
    </row>
    <row r="14" ht="14" customHeight="1">
      <c r="A14" s="12" t="inlineStr"/>
      <c r="B14" s="13" t="inlineStr">
        <is>
          <t>東邦ガス</t>
        </is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6">
        <f>SUM(C14:X14)</f>
        <v/>
      </c>
    </row>
    <row r="15" ht="14" customHeight="1">
      <c r="A15" s="8" t="inlineStr"/>
      <c r="B15" s="9" t="inlineStr">
        <is>
          <t>水道料</t>
        </is>
      </c>
      <c r="W15" s="10" t="n">
        <v>1892</v>
      </c>
      <c r="Y15" s="11">
        <f>SUM(C15:X15)</f>
        <v/>
      </c>
    </row>
    <row r="16" ht="14" customHeight="1">
      <c r="A16" s="12" t="inlineStr"/>
      <c r="B16" s="13" t="inlineStr">
        <is>
          <t>電気料</t>
        </is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5" t="n">
        <v>862474</v>
      </c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6">
        <f>SUM(C16:X16)</f>
        <v/>
      </c>
    </row>
    <row r="17" ht="14" customHeight="1">
      <c r="A17" s="8" t="inlineStr"/>
      <c r="B17" s="9" t="inlineStr">
        <is>
          <t>十六リース（設備）</t>
        </is>
      </c>
      <c r="I17" s="10" t="n">
        <v>288200</v>
      </c>
      <c r="Y17" s="11">
        <f>SUM(C17:X17)</f>
        <v/>
      </c>
    </row>
    <row r="18" ht="14" customHeight="1">
      <c r="A18" s="12" t="inlineStr"/>
      <c r="B18" s="13" t="inlineStr">
        <is>
          <t>十六リース（機械）</t>
        </is>
      </c>
      <c r="C18" s="14" t="n"/>
      <c r="D18" s="14" t="n"/>
      <c r="E18" s="14" t="n"/>
      <c r="F18" s="14" t="n"/>
      <c r="G18" s="14" t="n"/>
      <c r="H18" s="14" t="n"/>
      <c r="I18" s="15" t="n">
        <v>2718595</v>
      </c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6">
        <f>SUM(C18:X18)</f>
        <v/>
      </c>
    </row>
    <row r="19" ht="14" customHeight="1">
      <c r="A19" s="8" t="inlineStr">
        <is>
          <t>ロボットペイ</t>
        </is>
      </c>
      <c r="B19" s="9" t="inlineStr">
        <is>
          <t>イージス</t>
        </is>
      </c>
      <c r="L19" s="10" t="n">
        <v>11165</v>
      </c>
      <c r="Y19" s="11">
        <f>SUM(C19:X19)</f>
        <v/>
      </c>
    </row>
    <row r="20" ht="14" customHeight="1">
      <c r="A20" s="12" t="inlineStr"/>
      <c r="B20" s="13" t="inlineStr">
        <is>
          <t>高田繊維</t>
        </is>
      </c>
      <c r="C20" s="14" t="n"/>
      <c r="D20" s="14" t="n"/>
      <c r="E20" s="14" t="n"/>
      <c r="F20" s="14" t="n"/>
      <c r="G20" s="14" t="n"/>
      <c r="H20" s="14" t="n"/>
      <c r="I20" s="15" t="n">
        <v>432400</v>
      </c>
      <c r="J20" s="14" t="n"/>
      <c r="K20" s="14" t="n"/>
      <c r="L20" s="14" t="n"/>
      <c r="M20" s="14" t="n"/>
      <c r="N20" s="14" t="n"/>
      <c r="O20" s="15" t="n">
        <v>142316</v>
      </c>
      <c r="P20" s="14" t="n"/>
      <c r="Q20" s="14" t="n"/>
      <c r="R20" s="14" t="n"/>
      <c r="S20" s="14" t="n"/>
      <c r="T20" s="14" t="n"/>
      <c r="U20" s="14" t="n"/>
      <c r="V20" s="14" t="n"/>
      <c r="W20" s="15" t="n">
        <v>93248</v>
      </c>
      <c r="X20" s="14" t="n"/>
      <c r="Y20" s="16">
        <f>SUM(C20:X20)</f>
        <v/>
      </c>
    </row>
    <row r="21" ht="14" customHeight="1">
      <c r="A21" s="8" t="inlineStr"/>
      <c r="B21" s="9" t="inlineStr">
        <is>
          <t>しんきんコピー機</t>
        </is>
      </c>
      <c r="T21" s="10" t="n">
        <v>13860</v>
      </c>
      <c r="Y21" s="11">
        <f>SUM(C21:X21)</f>
        <v/>
      </c>
    </row>
    <row r="22" ht="14" customHeight="1">
      <c r="A22" s="12" t="inlineStr"/>
      <c r="B22" s="13" t="inlineStr">
        <is>
          <t>位田会計</t>
        </is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5" t="n">
        <v>127600</v>
      </c>
      <c r="U22" s="14" t="n"/>
      <c r="V22" s="14" t="n"/>
      <c r="W22" s="14" t="n"/>
      <c r="X22" s="14" t="n"/>
      <c r="Y22" s="16">
        <f>SUM(C22:X22)</f>
        <v/>
      </c>
    </row>
    <row r="23" ht="14" customHeight="1">
      <c r="A23" s="8" t="inlineStr"/>
      <c r="B23" s="9" t="inlineStr">
        <is>
          <t>源泉</t>
        </is>
      </c>
      <c r="Y23" s="11">
        <f>SUM(C23:X23)</f>
        <v/>
      </c>
    </row>
    <row r="24" ht="14" customHeight="1">
      <c r="A24" s="12" t="inlineStr"/>
      <c r="B24" s="13" t="inlineStr">
        <is>
          <t>住民税</t>
        </is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5" t="n">
        <v>61500</v>
      </c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6">
        <f>SUM(C24:X24)</f>
        <v/>
      </c>
    </row>
    <row r="25" ht="14" customHeight="1">
      <c r="A25" s="8" t="inlineStr"/>
      <c r="B25" s="9" t="inlineStr">
        <is>
          <t>県遊協</t>
        </is>
      </c>
      <c r="Y25" s="11">
        <f>SUM(C25:X25)</f>
        <v/>
      </c>
    </row>
    <row r="26" ht="14" customHeight="1">
      <c r="A26" s="12" t="inlineStr"/>
      <c r="B26" s="13" t="inlineStr">
        <is>
          <t>労働保険</t>
        </is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6">
        <f>SUM(C26:X26)</f>
        <v/>
      </c>
    </row>
    <row r="27" ht="14" customHeight="1">
      <c r="A27" s="8" t="inlineStr"/>
      <c r="B27" s="9" t="inlineStr">
        <is>
          <t>でんさい手数料</t>
        </is>
      </c>
      <c r="O27" s="10" t="n">
        <v>15840</v>
      </c>
      <c r="Y27" s="11">
        <f>SUM(C27:X27)</f>
        <v/>
      </c>
    </row>
    <row r="28" ht="14" customHeight="1">
      <c r="A28" s="12" t="inlineStr"/>
      <c r="B28" s="13" t="inlineStr">
        <is>
          <t>振込手数料</t>
        </is>
      </c>
      <c r="C28" s="14" t="n"/>
      <c r="D28" s="14" t="n"/>
      <c r="E28" s="14" t="n"/>
      <c r="F28" s="14" t="n"/>
      <c r="G28" s="14" t="n"/>
      <c r="H28" s="14" t="n"/>
      <c r="I28" s="14" t="n"/>
      <c r="J28" s="15" t="n">
        <v>34760</v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6">
        <f>SUM(C28:X28)</f>
        <v/>
      </c>
    </row>
    <row r="29" ht="14" customHeight="1">
      <c r="A29" s="8" t="inlineStr"/>
      <c r="B29" s="9" t="inlineStr">
        <is>
          <t>給料/給与</t>
        </is>
      </c>
      <c r="O29" s="10" t="n">
        <v>2758340</v>
      </c>
      <c r="Y29" s="11">
        <f>SUM(C29:X29)</f>
        <v/>
      </c>
    </row>
    <row r="30" ht="14" customHeight="1">
      <c r="A30" s="12" t="inlineStr"/>
      <c r="B30" s="13" t="inlineStr">
        <is>
          <t>役員/株返</t>
        </is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6">
        <f>SUM(C30:X30)</f>
        <v/>
      </c>
    </row>
    <row r="31" ht="14" customHeight="1">
      <c r="A31" s="8" t="inlineStr"/>
      <c r="B31" s="9" t="inlineStr">
        <is>
          <t>社会保険料（自）</t>
        </is>
      </c>
      <c r="X31" s="10" t="n">
        <v>640000</v>
      </c>
      <c r="Y31" s="11">
        <f>SUM(C31:X31)</f>
        <v/>
      </c>
    </row>
    <row r="32" ht="14" customHeight="1">
      <c r="A32" s="12" t="inlineStr"/>
      <c r="B32" s="13" t="inlineStr">
        <is>
          <t>固定資産税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6">
        <f>SUM(C32:X32)</f>
        <v/>
      </c>
    </row>
    <row r="33" ht="14" customHeight="1">
      <c r="A33" s="8" t="inlineStr"/>
      <c r="B33" s="9" t="inlineStr">
        <is>
          <t>グローリー</t>
        </is>
      </c>
      <c r="U33" s="10" t="n">
        <v>360640</v>
      </c>
      <c r="Y33" s="11">
        <f>SUM(C33:X33)</f>
        <v/>
      </c>
    </row>
    <row r="34" ht="14" customHeight="1">
      <c r="A34" s="12" t="inlineStr"/>
      <c r="B34" s="13" t="inlineStr">
        <is>
          <t>フジコム手形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5" t="n">
        <v>1557215</v>
      </c>
      <c r="Q34" s="14" t="n"/>
      <c r="R34" s="14" t="n"/>
      <c r="S34" s="14" t="n"/>
      <c r="T34" s="14" t="n"/>
      <c r="U34" s="14" t="n"/>
      <c r="V34" s="14" t="n"/>
      <c r="W34" s="14" t="n"/>
      <c r="X34" s="14" t="n"/>
      <c r="Y34" s="16">
        <f>SUM(C34:X34)</f>
        <v/>
      </c>
    </row>
    <row r="35" ht="14" customHeight="1">
      <c r="A35" s="8" t="inlineStr">
        <is>
          <t>26日</t>
        </is>
      </c>
      <c r="B35" s="9" t="inlineStr">
        <is>
          <t>北出家賃26</t>
        </is>
      </c>
      <c r="V35" s="10" t="n">
        <v>76250</v>
      </c>
      <c r="Y35" s="11">
        <f>SUM(C35:X35)</f>
        <v/>
      </c>
    </row>
    <row r="36" ht="14" customHeight="1">
      <c r="A36" s="12" t="inlineStr">
        <is>
          <t>27日</t>
        </is>
      </c>
      <c r="B36" s="13" t="inlineStr">
        <is>
          <t>北電子27日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>
        <v>49280</v>
      </c>
      <c r="V36" s="14" t="n"/>
      <c r="W36" s="14" t="n"/>
      <c r="X36" s="14" t="n"/>
      <c r="Y36" s="16">
        <f>SUM(C36:X36)</f>
        <v/>
      </c>
    </row>
    <row r="37" ht="14" customHeight="1">
      <c r="A37" s="8" t="inlineStr"/>
      <c r="B37" s="9" t="inlineStr">
        <is>
          <t>機械手形</t>
        </is>
      </c>
      <c r="X37" s="10" t="n">
        <v>1411595</v>
      </c>
      <c r="Y37" s="11">
        <f>SUM(C37:X37)</f>
        <v/>
      </c>
    </row>
    <row r="38" ht="14" customHeight="1">
      <c r="A38" s="12" t="inlineStr"/>
      <c r="B38" s="13" t="inlineStr">
        <is>
          <t>機械他（小切手）</t>
        </is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5" t="n">
        <v>613932</v>
      </c>
      <c r="W38" s="14" t="n"/>
      <c r="X38" s="14" t="n"/>
      <c r="Y38" s="16">
        <f>SUM(C38:X38)</f>
        <v/>
      </c>
    </row>
    <row r="39" ht="14" customHeight="1">
      <c r="A39" s="8" t="inlineStr"/>
      <c r="B39" s="9" t="inlineStr">
        <is>
          <t>月末振込</t>
        </is>
      </c>
      <c r="V39" s="10" t="n">
        <v>2622018</v>
      </c>
      <c r="Y39" s="11">
        <f>SUM(C39:X39)</f>
        <v/>
      </c>
    </row>
    <row r="40" ht="14" customHeight="1">
      <c r="A40" s="12" t="inlineStr">
        <is>
          <t>26日</t>
        </is>
      </c>
      <c r="B40" s="13" t="inlineStr">
        <is>
          <t>アルソック入金機</t>
        </is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5" t="n">
        <v>88000</v>
      </c>
      <c r="W40" s="14" t="n"/>
      <c r="X40" s="14" t="n"/>
      <c r="Y40" s="16">
        <f>SUM(C40:X40)</f>
        <v/>
      </c>
    </row>
    <row r="41" ht="14" customHeight="1">
      <c r="A41" s="8" t="inlineStr"/>
      <c r="B41" s="9" t="inlineStr">
        <is>
          <t>銀行返済</t>
        </is>
      </c>
      <c r="V41" s="10" t="n">
        <v>3700000</v>
      </c>
      <c r="Y41" s="11">
        <f>SUM(C41:X41)</f>
        <v/>
      </c>
    </row>
    <row r="42" ht="14" customHeight="1">
      <c r="A42" s="12" t="inlineStr">
        <is>
          <t>26日</t>
        </is>
      </c>
      <c r="B42" s="13" t="inlineStr">
        <is>
          <t>ヤマト26日</t>
        </is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5" t="n">
        <v>660</v>
      </c>
      <c r="V42" s="14" t="n"/>
      <c r="W42" s="14" t="n"/>
      <c r="X42" s="14" t="n"/>
      <c r="Y42" s="16">
        <f>SUM(C42:X42)</f>
        <v/>
      </c>
    </row>
    <row r="43" ht="14" customHeight="1">
      <c r="A43" s="8" t="inlineStr"/>
      <c r="B43" s="9" t="inlineStr">
        <is>
          <t>ダイコク（自）</t>
        </is>
      </c>
      <c r="V43" s="10" t="n">
        <v>38500</v>
      </c>
      <c r="Y43" s="11">
        <f>SUM(C43:X43)</f>
        <v/>
      </c>
    </row>
    <row r="44" ht="14" customHeight="1">
      <c r="A44" s="12" t="inlineStr"/>
      <c r="B44" s="13" t="inlineStr">
        <is>
          <t>納税</t>
        </is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5" t="n">
        <v>501668</v>
      </c>
      <c r="Y44" s="16">
        <f>SUM(C44:X44)</f>
        <v/>
      </c>
    </row>
    <row r="45" ht="14" customHeight="1">
      <c r="A45" s="8" t="inlineStr"/>
      <c r="B45" s="9" t="inlineStr">
        <is>
          <t>電気・ガス代</t>
        </is>
      </c>
      <c r="Y45" s="11">
        <f>SUM(C45:X45)</f>
        <v/>
      </c>
    </row>
    <row r="46" ht="14" customHeight="1">
      <c r="A46" s="12" t="inlineStr"/>
      <c r="B46" s="13" t="inlineStr">
        <is>
          <t>ウェルピアへ</t>
        </is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6">
        <f>SUM(C46:X46)</f>
        <v/>
      </c>
    </row>
    <row r="47" ht="14" customHeight="1">
      <c r="A47" s="8" t="inlineStr"/>
      <c r="B47" s="9" t="inlineStr">
        <is>
          <t>小口</t>
        </is>
      </c>
      <c r="Y47" s="11">
        <f>SUM(C47:X47)</f>
        <v/>
      </c>
    </row>
    <row r="48" ht="14" customHeight="1">
      <c r="A48" s="12" t="inlineStr"/>
      <c r="B48" s="13" t="inlineStr">
        <is>
          <t>その他</t>
        </is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5" t="n">
        <v>52646</v>
      </c>
      <c r="P48" s="14" t="n"/>
      <c r="Q48" s="14" t="n"/>
      <c r="R48" s="14" t="n"/>
      <c r="S48" s="14" t="n"/>
      <c r="T48" s="14" t="n"/>
      <c r="U48" s="15" t="n">
        <v>162000</v>
      </c>
      <c r="V48" s="14" t="n"/>
      <c r="W48" s="14" t="n"/>
      <c r="X48" s="14" t="n"/>
      <c r="Y48" s="16">
        <f>SUM(C48:X48)</f>
        <v/>
      </c>
    </row>
    <row r="49" ht="16" customHeight="1">
      <c r="A49" s="17" t="n"/>
      <c r="B49" s="18" t="inlineStr">
        <is>
          <t>支　払　合　計</t>
        </is>
      </c>
      <c r="C49" s="19">
        <f>SUM(C5:C48)</f>
        <v/>
      </c>
      <c r="D49" s="19">
        <f>SUM(D5:D48)</f>
        <v/>
      </c>
      <c r="E49" s="19">
        <f>SUM(E5:E48)</f>
        <v/>
      </c>
      <c r="F49" s="19">
        <f>SUM(F5:F48)</f>
        <v/>
      </c>
      <c r="G49" s="19">
        <f>SUM(G5:G48)</f>
        <v/>
      </c>
      <c r="H49" s="19">
        <f>SUM(H5:H48)</f>
        <v/>
      </c>
      <c r="I49" s="19">
        <f>SUM(I5:I48)</f>
        <v/>
      </c>
      <c r="J49" s="19">
        <f>SUM(J5:J48)</f>
        <v/>
      </c>
      <c r="K49" s="19">
        <f>SUM(K5:K48)</f>
        <v/>
      </c>
      <c r="L49" s="19">
        <f>SUM(L5:L48)</f>
        <v/>
      </c>
      <c r="M49" s="19">
        <f>SUM(M5:M48)</f>
        <v/>
      </c>
      <c r="N49" s="19">
        <f>SUM(N5:N48)</f>
        <v/>
      </c>
      <c r="O49" s="19">
        <f>SUM(O5:O48)</f>
        <v/>
      </c>
      <c r="P49" s="19">
        <f>SUM(P5:P48)</f>
        <v/>
      </c>
      <c r="Q49" s="19">
        <f>SUM(Q5:Q48)</f>
        <v/>
      </c>
      <c r="R49" s="19">
        <f>SUM(R5:R48)</f>
        <v/>
      </c>
      <c r="S49" s="19">
        <f>SUM(S5:S48)</f>
        <v/>
      </c>
      <c r="T49" s="19">
        <f>SUM(T5:T48)</f>
        <v/>
      </c>
      <c r="U49" s="19">
        <f>SUM(U5:U48)</f>
        <v/>
      </c>
      <c r="V49" s="19">
        <f>SUM(V5:V48)</f>
        <v/>
      </c>
      <c r="W49" s="19">
        <f>SUM(W5:W48)</f>
        <v/>
      </c>
      <c r="X49" s="19">
        <f>SUM(X5:X48)</f>
        <v/>
      </c>
      <c r="Y49" s="19">
        <f>SUM(C49:X49)</f>
        <v/>
      </c>
    </row>
    <row r="50" ht="15" customHeight="1">
      <c r="A50" s="20" t="n"/>
      <c r="B50" s="21" t="inlineStr">
        <is>
          <t>E　売　上</t>
        </is>
      </c>
      <c r="C50" s="22" t="n">
        <v>813500</v>
      </c>
      <c r="D50" s="22" t="n">
        <v>340200</v>
      </c>
      <c r="E50" s="22" t="n">
        <v>360700</v>
      </c>
      <c r="F50" s="22" t="n">
        <v>2973600</v>
      </c>
      <c r="G50" s="22" t="n">
        <v>186000</v>
      </c>
      <c r="H50" s="22" t="n">
        <v>1028200</v>
      </c>
      <c r="I50" s="22" t="n">
        <v>672000</v>
      </c>
      <c r="J50" s="22" t="n">
        <v>514200</v>
      </c>
      <c r="K50" s="22" t="n">
        <v>3500000</v>
      </c>
      <c r="L50" s="22" t="n">
        <v>652200</v>
      </c>
      <c r="M50" s="22" t="n">
        <v>463900</v>
      </c>
      <c r="N50" s="22" t="n">
        <v>517100</v>
      </c>
      <c r="O50" s="22" t="n">
        <v>500000</v>
      </c>
      <c r="P50" s="22" t="n">
        <v>2500000</v>
      </c>
      <c r="Q50" s="22" t="n">
        <v>500000</v>
      </c>
      <c r="R50" s="22" t="n">
        <v>500000</v>
      </c>
      <c r="S50" s="22" t="n">
        <v>500000</v>
      </c>
      <c r="T50" s="22" t="n">
        <v>500000</v>
      </c>
      <c r="U50" s="22" t="n">
        <v>2500000</v>
      </c>
      <c r="V50" s="22" t="n"/>
      <c r="W50" s="22" t="n">
        <v>500000</v>
      </c>
      <c r="X50" s="22" t="n">
        <v>500000</v>
      </c>
      <c r="Y50" s="22">
        <f>SUM(C50:X50)</f>
        <v/>
      </c>
    </row>
    <row r="51" ht="15" customHeight="1">
      <c r="A51" s="20" t="n"/>
      <c r="B51" s="21" t="inlineStr">
        <is>
          <t>その他収入</t>
        </is>
      </c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2" t="n">
        <v>22000</v>
      </c>
      <c r="V51" s="22" t="n">
        <v>110000</v>
      </c>
      <c r="W51" s="23" t="n"/>
      <c r="X51" s="23" t="n"/>
      <c r="Y51" s="22">
        <f>SUM(C51:X51)</f>
        <v/>
      </c>
    </row>
    <row r="52" ht="18" customHeight="1">
      <c r="A52" s="24" t="n"/>
      <c r="B52" s="25" t="inlineStr">
        <is>
          <t>残　　　高</t>
        </is>
      </c>
      <c r="C52" s="26">
        <f>2186099+C50+C51-C49</f>
        <v/>
      </c>
      <c r="D52" s="26">
        <f>C52+D50+D51-D49</f>
        <v/>
      </c>
      <c r="E52" s="26">
        <f>D52+E50+E51-E49</f>
        <v/>
      </c>
      <c r="F52" s="26">
        <f>E52+F50+F51-F49</f>
        <v/>
      </c>
      <c r="G52" s="26">
        <f>F52+G50+G51-G49</f>
        <v/>
      </c>
      <c r="H52" s="26">
        <f>G52+H50+H51-H49</f>
        <v/>
      </c>
      <c r="I52" s="26">
        <f>H52+I50+I51-I49</f>
        <v/>
      </c>
      <c r="J52" s="26">
        <f>I52+J50+J51-J49</f>
        <v/>
      </c>
      <c r="K52" s="26">
        <f>J52+K50+K51-K49</f>
        <v/>
      </c>
      <c r="L52" s="26">
        <f>K52+L50+L51-L49</f>
        <v/>
      </c>
      <c r="M52" s="26">
        <f>L52+M50+M51-M49</f>
        <v/>
      </c>
      <c r="N52" s="26">
        <f>M52+N50+N51-N49</f>
        <v/>
      </c>
      <c r="O52" s="26">
        <f>N52+O50+O51-O49</f>
        <v/>
      </c>
      <c r="P52" s="26">
        <f>O52+P50+P51-P49</f>
        <v/>
      </c>
      <c r="Q52" s="26">
        <f>P52+Q50+Q51-Q49</f>
        <v/>
      </c>
      <c r="R52" s="26">
        <f>Q52+R50+R51-R49</f>
        <v/>
      </c>
      <c r="S52" s="26">
        <f>R52+S50+S51-S49</f>
        <v/>
      </c>
      <c r="T52" s="26">
        <f>S52+T50+T51-T49</f>
        <v/>
      </c>
      <c r="U52" s="26">
        <f>T52+U50+U51-U49</f>
        <v/>
      </c>
      <c r="V52" s="26">
        <f>U52+V50+V51-V49</f>
        <v/>
      </c>
      <c r="W52" s="26">
        <f>V52+W50+W51-W49</f>
        <v/>
      </c>
      <c r="X52" s="26">
        <f>W52+X50+X51-X49</f>
        <v/>
      </c>
      <c r="Y52" s="27">
        <f>X52</f>
        <v/>
      </c>
    </row>
    <row r="53" ht="8" customHeight="1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8" customHeight="1">
      <c r="A54" s="29" t="inlineStr">
        <is>
          <t>■ 大日産業（岐信当座）</t>
        </is>
      </c>
      <c r="B54" s="4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1" t="inlineStr">
        <is>
          <t>前月残: 5,083,029</t>
        </is>
      </c>
      <c r="Y54" s="32" t="n">
        <v>5083029</v>
      </c>
    </row>
    <row r="55" ht="14" customHeight="1">
      <c r="A55" s="8" t="inlineStr">
        <is>
          <t>トヨタF</t>
        </is>
      </c>
      <c r="B55" s="9" t="inlineStr">
        <is>
          <t>ENEOS ビジネス</t>
        </is>
      </c>
      <c r="F55" s="10" t="n">
        <v>74805</v>
      </c>
      <c r="Y55" s="11">
        <f>SUM(C55:X55)</f>
        <v/>
      </c>
    </row>
    <row r="56" ht="14" customHeight="1">
      <c r="A56" s="33" t="inlineStr"/>
      <c r="B56" s="34" t="inlineStr">
        <is>
          <t>JCB</t>
        </is>
      </c>
      <c r="C56" s="35" t="n"/>
      <c r="D56" s="35" t="n"/>
      <c r="E56" s="35" t="n"/>
      <c r="F56" s="35" t="n"/>
      <c r="G56" s="35" t="n"/>
      <c r="H56" s="35" t="n"/>
      <c r="I56" s="35" t="n"/>
      <c r="J56" s="36" t="n">
        <v>82270</v>
      </c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7">
        <f>SUM(C56:X56)</f>
        <v/>
      </c>
    </row>
    <row r="57" ht="14" customHeight="1">
      <c r="A57" s="8" t="inlineStr"/>
      <c r="B57" s="9" t="inlineStr">
        <is>
          <t>JCB（ガソリン）</t>
        </is>
      </c>
      <c r="Y57" s="11">
        <f>SUM(C57:X57)</f>
        <v/>
      </c>
    </row>
    <row r="58" ht="14" customHeight="1">
      <c r="A58" s="33" t="inlineStr"/>
      <c r="B58" s="34" t="inlineStr">
        <is>
          <t>タキ新聞店</t>
        </is>
      </c>
      <c r="C58" s="35" t="n"/>
      <c r="D58" s="35" t="n"/>
      <c r="E58" s="35" t="n"/>
      <c r="F58" s="36" t="n">
        <v>3350</v>
      </c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7">
        <f>SUM(C58:X58)</f>
        <v/>
      </c>
    </row>
    <row r="59" ht="14" customHeight="1">
      <c r="A59" s="8" t="inlineStr"/>
      <c r="B59" s="9" t="inlineStr">
        <is>
          <t>セディナ三井住友</t>
        </is>
      </c>
      <c r="F59" s="10" t="n">
        <v>5562</v>
      </c>
      <c r="J59" s="10" t="n">
        <v>1470</v>
      </c>
      <c r="Y59" s="11">
        <f>SUM(C59:X59)</f>
        <v/>
      </c>
    </row>
    <row r="60" ht="14" customHeight="1">
      <c r="A60" s="33" t="inlineStr"/>
      <c r="B60" s="34" t="inlineStr">
        <is>
          <t>安心財団</t>
        </is>
      </c>
      <c r="C60" s="35" t="n"/>
      <c r="D60" s="35" t="n"/>
      <c r="E60" s="35" t="n"/>
      <c r="F60" s="36" t="n">
        <v>2000</v>
      </c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7">
        <f>SUM(C60:X60)</f>
        <v/>
      </c>
    </row>
    <row r="61" ht="14" customHeight="1">
      <c r="A61" s="8" t="inlineStr"/>
      <c r="B61" s="9" t="inlineStr">
        <is>
          <t>トヨタ</t>
        </is>
      </c>
      <c r="Y61" s="11">
        <f>SUM(C61:X61)</f>
        <v/>
      </c>
    </row>
    <row r="62" ht="14" customHeight="1">
      <c r="A62" s="33" t="inlineStr"/>
      <c r="B62" s="34" t="inlineStr">
        <is>
          <t>KDDI</t>
        </is>
      </c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6" t="n">
        <v>7000</v>
      </c>
      <c r="X62" s="36" t="n">
        <v>2500</v>
      </c>
      <c r="Y62" s="37">
        <f>SUM(C62:X62)</f>
        <v/>
      </c>
    </row>
    <row r="63" ht="14" customHeight="1">
      <c r="A63" s="8" t="inlineStr"/>
      <c r="B63" s="9" t="inlineStr">
        <is>
          <t>NTT</t>
        </is>
      </c>
      <c r="X63" s="10" t="n">
        <v>14532</v>
      </c>
      <c r="Y63" s="11">
        <f>SUM(C63:X63)</f>
        <v/>
      </c>
    </row>
    <row r="64" ht="14" customHeight="1">
      <c r="A64" s="33" t="inlineStr"/>
      <c r="B64" s="34" t="inlineStr">
        <is>
          <t>しょうしんへ</t>
        </is>
      </c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7">
        <f>SUM(C64:X64)</f>
        <v/>
      </c>
    </row>
    <row r="65" ht="14" customHeight="1">
      <c r="A65" s="8" t="inlineStr">
        <is>
          <t>22日</t>
        </is>
      </c>
      <c r="B65" s="9" t="inlineStr">
        <is>
          <t>しんきんリース</t>
        </is>
      </c>
      <c r="R65" s="10" t="n">
        <v>652052</v>
      </c>
      <c r="Y65" s="11">
        <f>SUM(C65:X65)</f>
        <v/>
      </c>
    </row>
    <row r="66" ht="14" customHeight="1">
      <c r="A66" s="33" t="inlineStr"/>
      <c r="B66" s="34" t="inlineStr">
        <is>
          <t>十六カード</t>
        </is>
      </c>
      <c r="C66" s="35" t="n"/>
      <c r="D66" s="35" t="n"/>
      <c r="E66" s="35" t="n"/>
      <c r="F66" s="35" t="n"/>
      <c r="G66" s="35" t="n"/>
      <c r="H66" s="35" t="n"/>
      <c r="I66" s="36" t="n">
        <v>610992</v>
      </c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7">
        <f>SUM(C66:X66)</f>
        <v/>
      </c>
    </row>
    <row r="67" ht="14" customHeight="1">
      <c r="A67" s="8" t="inlineStr"/>
      <c r="B67" s="9" t="inlineStr">
        <is>
          <t>十六リース</t>
        </is>
      </c>
      <c r="Y67" s="11">
        <f>SUM(C67:X67)</f>
        <v/>
      </c>
    </row>
    <row r="68" ht="14" customHeight="1">
      <c r="A68" s="33" t="inlineStr">
        <is>
          <t>20日</t>
        </is>
      </c>
      <c r="B68" s="34" t="inlineStr">
        <is>
          <t>商工中金へ</t>
        </is>
      </c>
      <c r="C68" s="35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6" t="n">
        <v>850000</v>
      </c>
      <c r="Q68" s="35" t="n"/>
      <c r="R68" s="35" t="n"/>
      <c r="S68" s="35" t="n"/>
      <c r="T68" s="35" t="n"/>
      <c r="U68" s="35" t="n"/>
      <c r="V68" s="35" t="n"/>
      <c r="W68" s="35" t="n"/>
      <c r="X68" s="35" t="n"/>
      <c r="Y68" s="37">
        <f>SUM(C68:X68)</f>
        <v/>
      </c>
    </row>
    <row r="69" ht="14" customHeight="1">
      <c r="A69" s="8" t="inlineStr"/>
      <c r="B69" s="9" t="inlineStr">
        <is>
          <t>証書借入</t>
        </is>
      </c>
      <c r="U69" s="10" t="n">
        <v>530000</v>
      </c>
      <c r="Y69" s="11">
        <f>SUM(C69:X69)</f>
        <v/>
      </c>
    </row>
    <row r="70" ht="14" customHeight="1">
      <c r="A70" s="33" t="inlineStr"/>
      <c r="B70" s="34" t="inlineStr">
        <is>
          <t>ウェルピア羽島</t>
        </is>
      </c>
      <c r="C70" s="35" t="n"/>
      <c r="D70" s="35" t="n"/>
      <c r="E70" s="35" t="n"/>
      <c r="F70" s="35" t="n"/>
      <c r="G70" s="35" t="n"/>
      <c r="H70" s="35" t="n"/>
      <c r="I70" s="36" t="n">
        <v>1650000</v>
      </c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7">
        <f>SUM(C70:X70)</f>
        <v/>
      </c>
    </row>
    <row r="71" ht="14" customHeight="1">
      <c r="A71" s="8" t="inlineStr"/>
      <c r="B71" s="9" t="inlineStr">
        <is>
          <t>ウェルピアへ</t>
        </is>
      </c>
      <c r="Y71" s="11">
        <f>SUM(C71:X71)</f>
        <v/>
      </c>
    </row>
    <row r="72" ht="14" customHeight="1">
      <c r="A72" s="33" t="inlineStr"/>
      <c r="B72" s="34" t="inlineStr">
        <is>
          <t>AMUSEへ</t>
        </is>
      </c>
      <c r="C72" s="35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7">
        <f>SUM(C72:X72)</f>
        <v/>
      </c>
    </row>
    <row r="73" ht="14" customHeight="1">
      <c r="A73" s="8" t="inlineStr"/>
      <c r="B73" s="9" t="inlineStr">
        <is>
          <t>ブリックス社労士</t>
        </is>
      </c>
      <c r="L73" s="10" t="n">
        <v>22952</v>
      </c>
      <c r="Y73" s="11">
        <f>SUM(C73:X73)</f>
        <v/>
      </c>
    </row>
    <row r="74" ht="14" customHeight="1">
      <c r="A74" s="33" t="inlineStr"/>
      <c r="B74" s="34" t="inlineStr">
        <is>
          <t>東邦液化ガス</t>
        </is>
      </c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7">
        <f>SUM(C74:X74)</f>
        <v/>
      </c>
    </row>
    <row r="75" ht="14" customHeight="1">
      <c r="A75" s="8" t="inlineStr"/>
      <c r="B75" s="9" t="inlineStr">
        <is>
          <t>水道</t>
        </is>
      </c>
      <c r="Y75" s="11">
        <f>SUM(C75:X75)</f>
        <v/>
      </c>
    </row>
    <row r="76" ht="14" customHeight="1">
      <c r="A76" s="33" t="inlineStr"/>
      <c r="B76" s="34" t="inlineStr">
        <is>
          <t>電気料</t>
        </is>
      </c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7">
        <f>SUM(C76:X76)</f>
        <v/>
      </c>
    </row>
    <row r="77" ht="14" customHeight="1">
      <c r="A77" s="8" t="inlineStr"/>
      <c r="B77" s="9" t="inlineStr">
        <is>
          <t>源泉</t>
        </is>
      </c>
      <c r="J77" s="10" t="n">
        <v>6650</v>
      </c>
      <c r="Y77" s="11">
        <f>SUM(C77:X77)</f>
        <v/>
      </c>
    </row>
    <row r="78" ht="14" customHeight="1">
      <c r="A78" s="33" t="inlineStr"/>
      <c r="B78" s="34" t="inlineStr">
        <is>
          <t>住民税</t>
        </is>
      </c>
      <c r="C78" s="35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6" t="n">
        <v>25800</v>
      </c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7">
        <f>SUM(C78:X78)</f>
        <v/>
      </c>
    </row>
    <row r="79" ht="14" customHeight="1">
      <c r="A79" s="8" t="inlineStr"/>
      <c r="B79" s="9" t="inlineStr">
        <is>
          <t>労働保険料</t>
        </is>
      </c>
      <c r="Y79" s="11">
        <f>SUM(C79:X79)</f>
        <v/>
      </c>
    </row>
    <row r="80" ht="14" customHeight="1">
      <c r="A80" s="33" t="inlineStr"/>
      <c r="B80" s="34" t="inlineStr">
        <is>
          <t>振込手数料</t>
        </is>
      </c>
      <c r="C80" s="35" t="n"/>
      <c r="D80" s="35" t="n"/>
      <c r="E80" s="35" t="n"/>
      <c r="F80" s="35" t="n"/>
      <c r="G80" s="35" t="n"/>
      <c r="H80" s="35" t="n"/>
      <c r="I80" s="35" t="n"/>
      <c r="J80" s="36" t="n">
        <v>32285</v>
      </c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7">
        <f>SUM(C80:X80)</f>
        <v/>
      </c>
    </row>
    <row r="81" ht="14" customHeight="1">
      <c r="A81" s="8" t="inlineStr"/>
      <c r="B81" s="9" t="inlineStr">
        <is>
          <t>小口</t>
        </is>
      </c>
      <c r="P81" s="10" t="n">
        <v>500000</v>
      </c>
      <c r="Y81" s="11">
        <f>SUM(C81:X81)</f>
        <v/>
      </c>
    </row>
    <row r="82" ht="14" customHeight="1">
      <c r="A82" s="33" t="inlineStr"/>
      <c r="B82" s="34" t="inlineStr">
        <is>
          <t>給料</t>
        </is>
      </c>
      <c r="C82" s="35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6" t="n">
        <v>1239784</v>
      </c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7">
        <f>SUM(C82:X82)</f>
        <v/>
      </c>
    </row>
    <row r="83" ht="14" customHeight="1">
      <c r="A83" s="8" t="inlineStr"/>
      <c r="B83" s="9" t="inlineStr">
        <is>
          <t>ボディケア費用</t>
        </is>
      </c>
      <c r="Y83" s="11">
        <f>SUM(C83:X83)</f>
        <v/>
      </c>
    </row>
    <row r="84" ht="14" customHeight="1">
      <c r="A84" s="33" t="inlineStr"/>
      <c r="B84" s="34" t="inlineStr">
        <is>
          <t>サイクル費用</t>
        </is>
      </c>
      <c r="C84" s="35" t="n"/>
      <c r="D84" s="35" t="n"/>
      <c r="E84" s="35" t="n"/>
      <c r="F84" s="35" t="n"/>
      <c r="G84" s="35" t="n"/>
      <c r="H84" s="35" t="n"/>
      <c r="I84" s="36" t="n">
        <v>19249</v>
      </c>
      <c r="J84" s="35" t="n"/>
      <c r="K84" s="35" t="n"/>
      <c r="L84" s="35" t="n"/>
      <c r="M84" s="35" t="n"/>
      <c r="N84" s="35" t="n"/>
      <c r="O84" s="36" t="n">
        <v>47420</v>
      </c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7">
        <f>SUM(C84:X84)</f>
        <v/>
      </c>
    </row>
    <row r="85" ht="14" customHeight="1">
      <c r="A85" s="8" t="inlineStr"/>
      <c r="B85" s="9" t="inlineStr">
        <is>
          <t>ボディケア30日</t>
        </is>
      </c>
      <c r="V85" s="10" t="n">
        <v>351150</v>
      </c>
      <c r="Y85" s="11">
        <f>SUM(C85:X85)</f>
        <v/>
      </c>
    </row>
    <row r="86" ht="14" customHeight="1">
      <c r="A86" s="33" t="inlineStr"/>
      <c r="B86" s="34" t="inlineStr">
        <is>
          <t>サイクル月末</t>
        </is>
      </c>
      <c r="C86" s="35" t="n"/>
      <c r="D86" s="35" t="n"/>
      <c r="E86" s="35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6" t="n">
        <v>100592</v>
      </c>
      <c r="W86" s="35" t="n"/>
      <c r="X86" s="35" t="n"/>
      <c r="Y86" s="37">
        <f>SUM(C86:X86)</f>
        <v/>
      </c>
    </row>
    <row r="87" ht="14" customHeight="1">
      <c r="A87" s="8" t="inlineStr"/>
      <c r="B87" s="9" t="inlineStr">
        <is>
          <t>Eats月末</t>
        </is>
      </c>
      <c r="Y87" s="11">
        <f>SUM(C87:X87)</f>
        <v/>
      </c>
    </row>
    <row r="88" ht="14" customHeight="1">
      <c r="A88" s="33" t="inlineStr">
        <is>
          <t>26日</t>
        </is>
      </c>
      <c r="B88" s="34" t="inlineStr">
        <is>
          <t>本社月末振込</t>
        </is>
      </c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6" t="n">
        <v>70350</v>
      </c>
      <c r="W88" s="35" t="n"/>
      <c r="X88" s="35" t="n"/>
      <c r="Y88" s="37">
        <f>SUM(C88:X88)</f>
        <v/>
      </c>
    </row>
    <row r="89" ht="14" customHeight="1">
      <c r="A89" s="8" t="inlineStr">
        <is>
          <t>26日</t>
        </is>
      </c>
      <c r="B89" s="9" t="inlineStr">
        <is>
          <t>GM地権者振＋他</t>
        </is>
      </c>
      <c r="V89" s="10" t="n">
        <v>3216251</v>
      </c>
      <c r="Y89" s="11">
        <f>SUM(C89:X89)</f>
        <v/>
      </c>
    </row>
    <row r="90" ht="14" customHeight="1">
      <c r="A90" s="33" t="inlineStr"/>
      <c r="B90" s="34" t="inlineStr">
        <is>
          <t>長野農研</t>
        </is>
      </c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6" t="n">
        <v>143000</v>
      </c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7">
        <f>SUM(C90:X90)</f>
        <v/>
      </c>
    </row>
    <row r="91" ht="14" customHeight="1">
      <c r="A91" s="8" t="inlineStr"/>
      <c r="B91" s="9" t="inlineStr">
        <is>
          <t>日浦新聞</t>
        </is>
      </c>
      <c r="O91" s="10" t="n">
        <v>6750</v>
      </c>
      <c r="Y91" s="11">
        <f>SUM(C91:X91)</f>
        <v/>
      </c>
    </row>
    <row r="92" ht="14" customHeight="1">
      <c r="A92" s="33" t="inlineStr"/>
      <c r="B92" s="34" t="inlineStr">
        <is>
          <t>位田会計</t>
        </is>
      </c>
      <c r="C92" s="35" t="n"/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6" t="n">
        <v>36300</v>
      </c>
      <c r="T92" s="35" t="n"/>
      <c r="U92" s="35" t="n"/>
      <c r="V92" s="35" t="n"/>
      <c r="W92" s="35" t="n"/>
      <c r="X92" s="35" t="n"/>
      <c r="Y92" s="37">
        <f>SUM(C92:X92)</f>
        <v/>
      </c>
    </row>
    <row r="93" ht="14" customHeight="1">
      <c r="A93" s="8" t="inlineStr"/>
      <c r="B93" s="9" t="inlineStr">
        <is>
          <t>F&amp;M 27</t>
        </is>
      </c>
      <c r="V93" s="10" t="n">
        <v>49500</v>
      </c>
      <c r="Y93" s="11">
        <f>SUM(C93:X93)</f>
        <v/>
      </c>
    </row>
    <row r="94" ht="14" customHeight="1">
      <c r="A94" s="33" t="inlineStr">
        <is>
          <t>26日</t>
        </is>
      </c>
      <c r="B94" s="34" t="inlineStr">
        <is>
          <t>佐川</t>
        </is>
      </c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6" t="n">
        <v>3234</v>
      </c>
      <c r="W94" s="35" t="n"/>
      <c r="X94" s="35" t="n"/>
      <c r="Y94" s="37">
        <f>SUM(C94:X94)</f>
        <v/>
      </c>
    </row>
    <row r="95" ht="14" customHeight="1">
      <c r="A95" s="8" t="inlineStr">
        <is>
          <t>26日</t>
        </is>
      </c>
      <c r="B95" s="9" t="inlineStr">
        <is>
          <t>ヤマト26</t>
        </is>
      </c>
      <c r="V95" s="10" t="n">
        <v>1320</v>
      </c>
      <c r="Y95" s="11">
        <f>SUM(C95:X95)</f>
        <v/>
      </c>
    </row>
    <row r="96" ht="14" customHeight="1">
      <c r="A96" s="33" t="inlineStr"/>
      <c r="B96" s="34" t="inlineStr">
        <is>
          <t>アルファスタッフ</t>
        </is>
      </c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7">
        <f>SUM(C96:X96)</f>
        <v/>
      </c>
    </row>
    <row r="97" ht="14" customHeight="1">
      <c r="A97" s="8" t="inlineStr"/>
      <c r="B97" s="9" t="inlineStr">
        <is>
          <t>S・B26</t>
        </is>
      </c>
      <c r="V97" s="10" t="n">
        <v>63203</v>
      </c>
      <c r="Y97" s="11">
        <f>SUM(C97:X97)</f>
        <v/>
      </c>
    </row>
    <row r="98" ht="14" customHeight="1">
      <c r="A98" s="33" t="inlineStr">
        <is>
          <t>26日</t>
        </is>
      </c>
      <c r="B98" s="34" t="inlineStr">
        <is>
          <t>車保険料</t>
        </is>
      </c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6" t="n">
        <v>80670</v>
      </c>
      <c r="V98" s="35" t="n"/>
      <c r="W98" s="35" t="n"/>
      <c r="X98" s="35" t="n"/>
      <c r="Y98" s="37">
        <f>SUM(C98:X98)</f>
        <v/>
      </c>
    </row>
    <row r="99" ht="14" customHeight="1">
      <c r="A99" s="8" t="inlineStr"/>
      <c r="B99" s="9" t="inlineStr">
        <is>
          <t>火災保険</t>
        </is>
      </c>
      <c r="U99" s="10" t="n">
        <v>50380</v>
      </c>
      <c r="Y99" s="11">
        <f>SUM(C99:X99)</f>
        <v/>
      </c>
    </row>
    <row r="100" ht="14" customHeight="1">
      <c r="A100" s="33" t="inlineStr">
        <is>
          <t>27日</t>
        </is>
      </c>
      <c r="B100" s="34" t="inlineStr">
        <is>
          <t>日本生命（自）</t>
        </is>
      </c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6" t="n">
        <v>38000</v>
      </c>
      <c r="V100" s="35" t="n"/>
      <c r="W100" s="35" t="n"/>
      <c r="X100" s="35" t="n"/>
      <c r="Y100" s="37">
        <f>SUM(C100:X100)</f>
        <v/>
      </c>
    </row>
    <row r="101" ht="14" customHeight="1">
      <c r="A101" s="8" t="inlineStr">
        <is>
          <t>4/26振替</t>
        </is>
      </c>
      <c r="B101" s="9" t="inlineStr">
        <is>
          <t>ギフシンBC（自）</t>
        </is>
      </c>
      <c r="U101" s="10" t="n">
        <v>5400</v>
      </c>
      <c r="Y101" s="11">
        <f>SUM(C101:X101)</f>
        <v/>
      </c>
    </row>
    <row r="102" ht="14" customHeight="1">
      <c r="A102" s="33" t="inlineStr">
        <is>
          <t>4/26振替</t>
        </is>
      </c>
      <c r="B102" s="34" t="inlineStr">
        <is>
          <t>リコー</t>
        </is>
      </c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6" t="n">
        <v>6600</v>
      </c>
      <c r="V102" s="35" t="n"/>
      <c r="W102" s="35" t="n"/>
      <c r="X102" s="35" t="n"/>
      <c r="Y102" s="37">
        <f>SUM(C102:X102)</f>
        <v/>
      </c>
    </row>
    <row r="103" ht="14" customHeight="1">
      <c r="A103" s="8" t="inlineStr">
        <is>
          <t>4/26振替</t>
        </is>
      </c>
      <c r="B103" s="9" t="inlineStr">
        <is>
          <t>ライフカード（自）</t>
        </is>
      </c>
      <c r="U103" s="10" t="n">
        <v>3625</v>
      </c>
      <c r="Y103" s="11">
        <f>SUM(C103:X103)</f>
        <v/>
      </c>
    </row>
    <row r="104" ht="14" customHeight="1">
      <c r="A104" s="33" t="inlineStr"/>
      <c r="B104" s="34" t="inlineStr">
        <is>
          <t>地代（自）</t>
        </is>
      </c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6" t="n">
        <v>1980000</v>
      </c>
      <c r="Y104" s="37">
        <f>SUM(C104:X104)</f>
        <v/>
      </c>
    </row>
    <row r="105" ht="14" customHeight="1">
      <c r="A105" s="8" t="inlineStr"/>
      <c r="B105" s="9" t="inlineStr">
        <is>
          <t>固定資産税</t>
        </is>
      </c>
      <c r="X105" s="10" t="n">
        <v>840000</v>
      </c>
      <c r="Y105" s="11">
        <f>SUM(C105:X105)</f>
        <v/>
      </c>
    </row>
    <row r="106" ht="14" customHeight="1">
      <c r="A106" s="33" t="inlineStr"/>
      <c r="B106" s="34" t="inlineStr">
        <is>
          <t>社会保険料（自）</t>
        </is>
      </c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6" t="n">
        <v>512766</v>
      </c>
      <c r="Y106" s="37">
        <f>SUM(C106:X106)</f>
        <v/>
      </c>
    </row>
    <row r="107" ht="14" customHeight="1">
      <c r="A107" s="8" t="inlineStr"/>
      <c r="B107" s="9" t="inlineStr">
        <is>
          <t>電気・ガス代</t>
        </is>
      </c>
      <c r="V107" s="10" t="n">
        <v>44608</v>
      </c>
      <c r="Y107" s="11">
        <f>SUM(C107:X107)</f>
        <v/>
      </c>
    </row>
    <row r="108" ht="14" customHeight="1">
      <c r="A108" s="33" t="inlineStr"/>
      <c r="B108" s="34" t="inlineStr">
        <is>
          <t>納税</t>
        </is>
      </c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6" t="n">
        <v>1505508</v>
      </c>
      <c r="Y108" s="37">
        <f>SUM(C108:X108)</f>
        <v/>
      </c>
    </row>
    <row r="109" ht="14" customHeight="1">
      <c r="A109" s="8" t="inlineStr"/>
      <c r="B109" s="9" t="inlineStr">
        <is>
          <t>その他</t>
        </is>
      </c>
      <c r="O109" s="10" t="n">
        <v>150983</v>
      </c>
      <c r="Y109" s="11">
        <f>SUM(C109:X109)</f>
        <v/>
      </c>
    </row>
    <row r="110" ht="16" customHeight="1">
      <c r="A110" s="17" t="n"/>
      <c r="B110" s="18" t="inlineStr">
        <is>
          <t>支　払　合　計</t>
        </is>
      </c>
      <c r="C110" s="19">
        <f>SUM(C55:C109)</f>
        <v/>
      </c>
      <c r="D110" s="19">
        <f>SUM(D55:D109)</f>
        <v/>
      </c>
      <c r="E110" s="19">
        <f>SUM(E55:E109)</f>
        <v/>
      </c>
      <c r="F110" s="19">
        <f>SUM(F55:F109)</f>
        <v/>
      </c>
      <c r="G110" s="19">
        <f>SUM(G55:G109)</f>
        <v/>
      </c>
      <c r="H110" s="19">
        <f>SUM(H55:H109)</f>
        <v/>
      </c>
      <c r="I110" s="19">
        <f>SUM(I55:I109)</f>
        <v/>
      </c>
      <c r="J110" s="19">
        <f>SUM(J55:J109)</f>
        <v/>
      </c>
      <c r="K110" s="19">
        <f>SUM(K55:K109)</f>
        <v/>
      </c>
      <c r="L110" s="19">
        <f>SUM(L55:L109)</f>
        <v/>
      </c>
      <c r="M110" s="19">
        <f>SUM(M55:M109)</f>
        <v/>
      </c>
      <c r="N110" s="19">
        <f>SUM(N55:N109)</f>
        <v/>
      </c>
      <c r="O110" s="19">
        <f>SUM(O55:O109)</f>
        <v/>
      </c>
      <c r="P110" s="19">
        <f>SUM(P55:P109)</f>
        <v/>
      </c>
      <c r="Q110" s="19">
        <f>SUM(Q55:Q109)</f>
        <v/>
      </c>
      <c r="R110" s="19">
        <f>SUM(R55:R109)</f>
        <v/>
      </c>
      <c r="S110" s="19">
        <f>SUM(S55:S109)</f>
        <v/>
      </c>
      <c r="T110" s="19">
        <f>SUM(T55:T109)</f>
        <v/>
      </c>
      <c r="U110" s="19">
        <f>SUM(U55:U109)</f>
        <v/>
      </c>
      <c r="V110" s="19">
        <f>SUM(V55:V109)</f>
        <v/>
      </c>
      <c r="W110" s="19">
        <f>SUM(W55:W109)</f>
        <v/>
      </c>
      <c r="X110" s="19">
        <f>SUM(X55:X109)</f>
        <v/>
      </c>
      <c r="Y110" s="19">
        <f>SUM(C110:X110)</f>
        <v/>
      </c>
    </row>
    <row r="111" ht="15" customHeight="1">
      <c r="A111" s="38" t="n"/>
      <c r="B111" s="39" t="inlineStr">
        <is>
          <t>サイクルIP売上</t>
        </is>
      </c>
      <c r="C111" s="40" t="n"/>
      <c r="D111" s="41" t="n">
        <v>56720</v>
      </c>
      <c r="E111" s="40" t="n"/>
      <c r="F111" s="40" t="n"/>
      <c r="G111" s="40" t="n"/>
      <c r="H111" s="40" t="n"/>
      <c r="I111" s="41" t="n">
        <v>49647</v>
      </c>
      <c r="J111" s="41" t="n">
        <v>40000</v>
      </c>
      <c r="K111" s="41" t="n">
        <v>43720</v>
      </c>
      <c r="L111" s="40" t="n"/>
      <c r="M111" s="40" t="n"/>
      <c r="N111" s="41" t="n">
        <v>93499</v>
      </c>
      <c r="O111" s="40" t="n"/>
      <c r="P111" s="40" t="n"/>
      <c r="Q111" s="40" t="n"/>
      <c r="R111" s="40" t="n"/>
      <c r="S111" s="41" t="n">
        <v>67309</v>
      </c>
      <c r="T111" s="41" t="n">
        <v>261944</v>
      </c>
      <c r="U111" s="40" t="n"/>
      <c r="V111" s="40" t="n"/>
      <c r="W111" s="40" t="n"/>
      <c r="X111" s="40" t="n"/>
      <c r="Y111" s="41">
        <f>SUM(C111:X111)</f>
        <v/>
      </c>
    </row>
    <row r="112" ht="15" customHeight="1">
      <c r="A112" s="38" t="n"/>
      <c r="B112" s="39" t="inlineStr">
        <is>
          <t>福　祉</t>
        </is>
      </c>
      <c r="C112" s="40" t="n"/>
      <c r="D112" s="40" t="n"/>
      <c r="E112" s="41" t="n">
        <v>136626</v>
      </c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1" t="n">
        <v>220000</v>
      </c>
      <c r="V112" s="41" t="n">
        <v>301344</v>
      </c>
      <c r="W112" s="40" t="n"/>
      <c r="X112" s="40" t="n"/>
      <c r="Y112" s="41">
        <f>SUM(C112:X112)</f>
        <v/>
      </c>
    </row>
    <row r="113" ht="15" customHeight="1">
      <c r="A113" s="38" t="n"/>
      <c r="B113" s="39" t="inlineStr">
        <is>
          <t>その他入金</t>
        </is>
      </c>
      <c r="C113" s="40" t="n"/>
      <c r="D113" s="40" t="n"/>
      <c r="E113" s="40" t="n"/>
      <c r="F113" s="40" t="n"/>
      <c r="G113" s="40" t="n"/>
      <c r="H113" s="40" t="n"/>
      <c r="I113" s="40" t="n"/>
      <c r="J113" s="41" t="n">
        <v>440000</v>
      </c>
      <c r="K113" s="40" t="n"/>
      <c r="L113" s="41" t="n">
        <v>3000000</v>
      </c>
      <c r="M113" s="40" t="n"/>
      <c r="N113" s="40" t="n"/>
      <c r="O113" s="40" t="n"/>
      <c r="P113" s="40" t="n"/>
      <c r="Q113" s="40" t="n"/>
      <c r="R113" s="40" t="n"/>
      <c r="S113" s="40" t="n"/>
      <c r="T113" s="41" t="n">
        <v>97610</v>
      </c>
      <c r="U113" s="41" t="n">
        <v>327076</v>
      </c>
      <c r="V113" s="41" t="n">
        <v>3500000</v>
      </c>
      <c r="W113" s="40" t="n"/>
      <c r="X113" s="41" t="n">
        <v>5000000</v>
      </c>
      <c r="Y113" s="41">
        <f>SUM(C113:X113)</f>
        <v/>
      </c>
    </row>
    <row r="114" ht="18" customHeight="1">
      <c r="A114" s="24" t="n"/>
      <c r="B114" s="25" t="inlineStr">
        <is>
          <t>残　　　高</t>
        </is>
      </c>
      <c r="C114" s="26">
        <f>5083029+C111+C112+C113-C110</f>
        <v/>
      </c>
      <c r="D114" s="26">
        <f>C114+D111+D112+D113-D110</f>
        <v/>
      </c>
      <c r="E114" s="26">
        <f>D114+E111+E112+E113-E110</f>
        <v/>
      </c>
      <c r="F114" s="26">
        <f>E114+F111+F112+F113-F110</f>
        <v/>
      </c>
      <c r="G114" s="26">
        <f>F114+G111+G112+G113-G110</f>
        <v/>
      </c>
      <c r="H114" s="26">
        <f>G114+H111+H112+H113-H110</f>
        <v/>
      </c>
      <c r="I114" s="26">
        <f>H114+I111+I112+I113-I110</f>
        <v/>
      </c>
      <c r="J114" s="26">
        <f>I114+J111+J112+J113-J110</f>
        <v/>
      </c>
      <c r="K114" s="26">
        <f>J114+K111+K112+K113-K110</f>
        <v/>
      </c>
      <c r="L114" s="26">
        <f>K114+L111+L112+L113-L110</f>
        <v/>
      </c>
      <c r="M114" s="26">
        <f>L114+M111+M112+M113-M110</f>
        <v/>
      </c>
      <c r="N114" s="26">
        <f>M114+N111+N112+N113-N110</f>
        <v/>
      </c>
      <c r="O114" s="26">
        <f>N114+O111+O112+O113-O110</f>
        <v/>
      </c>
      <c r="P114" s="26">
        <f>O114+P111+P112+P113-P110</f>
        <v/>
      </c>
      <c r="Q114" s="26">
        <f>P114+Q111+Q112+Q113-Q110</f>
        <v/>
      </c>
      <c r="R114" s="26">
        <f>Q114+R111+R112+R113-R110</f>
        <v/>
      </c>
      <c r="S114" s="26">
        <f>R114+S111+S112+S113-S110</f>
        <v/>
      </c>
      <c r="T114" s="26">
        <f>S114+T111+T112+T113-T110</f>
        <v/>
      </c>
      <c r="U114" s="26">
        <f>T114+U111+U112+U113-U110</f>
        <v/>
      </c>
      <c r="V114" s="26">
        <f>U114+V111+V112+V113-V110</f>
        <v/>
      </c>
      <c r="W114" s="26">
        <f>V114+W111+W112+W113-W110</f>
        <v/>
      </c>
      <c r="X114" s="26">
        <f>W114+X111+X112+X113-X110</f>
        <v/>
      </c>
      <c r="Y114" s="27">
        <f>X114</f>
        <v/>
      </c>
    </row>
  </sheetData>
  <mergeCells count="3">
    <mergeCell ref="A4:B4"/>
    <mergeCell ref="A54:B54"/>
    <mergeCell ref="A1:Y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2026-04-17T00:32:45Z</dcterms:created>
  <dcterms:modified xmlns:dcterms="http://purl.org/dc/terms/" xmlns:xsi="http://www.w3.org/2001/XMLSchema-instance" xsi:type="dcterms:W3CDTF">2026-04-17T00:32:45Z</dcterms:modified>
</cp:coreProperties>
</file>