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USE" sheetId="1" state="visible" r:id="rId1"/>
    <sheet xmlns:r="http://schemas.openxmlformats.org/officeDocument/2006/relationships" name="大日産業" sheetId="2" state="visible" r:id="rId2"/>
  </sheets>
  <definedNames>
    <definedName name="_xlnm.Print_Titles" localSheetId="0">'AMUSE'!$1:$3</definedName>
    <definedName name="_xlnm.Print_Titles" localSheetId="1">'大日産業'!$1:$3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9"/>
    </font>
    <font>
      <name val="Arial"/>
      <b val="1"/>
      <color rgb="000000FF"/>
      <sz val="10"/>
    </font>
    <font>
      <name val="Arial"/>
      <i val="1"/>
      <color rgb="00888888"/>
      <sz val="8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03366"/>
      <sz val="10"/>
    </font>
    <font>
      <name val="Arial"/>
      <b val="1"/>
      <color rgb="00003366"/>
      <sz val="9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00"/>
      </patternFill>
    </fill>
    <fill>
      <patternFill patternType="solid">
        <fgColor rgb="004472C4"/>
      </patternFill>
    </fill>
    <fill>
      <patternFill patternType="solid">
        <fgColor rgb="00F7FBFF"/>
      </patternFill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F4FFF4"/>
      </patternFill>
    </fill>
  </fills>
  <borders count="11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medium">
        <color rgb="00333333"/>
      </left>
      <right/>
      <top style="medium">
        <color rgb="00333333"/>
      </top>
      <bottom/>
    </border>
    <border>
      <left/>
      <right/>
      <top style="medium">
        <color rgb="00333333"/>
      </top>
      <bottom/>
    </border>
    <border>
      <left/>
      <right style="medium">
        <color rgb="00333333"/>
      </right>
      <top style="medium">
        <color rgb="00333333"/>
      </top>
      <bottom/>
    </border>
    <border>
      <left style="medium">
        <color rgb="00333333"/>
      </left>
      <right/>
      <top/>
      <bottom/>
    </border>
    <border>
      <left/>
      <right/>
      <top/>
      <bottom/>
    </border>
    <border>
      <left/>
      <right style="medium">
        <color rgb="00333333"/>
      </right>
      <top/>
      <bottom/>
    </border>
    <border>
      <left style="medium">
        <color rgb="00333333"/>
      </left>
      <right/>
      <top/>
      <bottom style="medium">
        <color rgb="00333333"/>
      </bottom>
    </border>
    <border>
      <left/>
      <right/>
      <top/>
      <bottom style="medium">
        <color rgb="00333333"/>
      </bottom>
    </border>
    <border>
      <left/>
      <right style="medium">
        <color rgb="00333333"/>
      </right>
      <top/>
      <bottom style="medium">
        <color rgb="00333333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left" vertical="center"/>
    </xf>
    <xf numFmtId="0" fontId="0" fillId="0" borderId="6" pivotButton="0" quotePrefix="0" xfId="0"/>
    <xf numFmtId="164" fontId="7" fillId="0" borderId="6" applyAlignment="1" pivotButton="0" quotePrefix="0" xfId="0">
      <alignment horizontal="right" vertical="center"/>
    </xf>
    <xf numFmtId="164" fontId="2" fillId="0" borderId="7" applyAlignment="1" pivotButton="0" quotePrefix="0" xfId="0">
      <alignment horizontal="right" vertical="center"/>
    </xf>
    <xf numFmtId="0" fontId="7" fillId="6" borderId="5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left" vertical="center"/>
    </xf>
    <xf numFmtId="0" fontId="0" fillId="6" borderId="6" pivotButton="0" quotePrefix="0" xfId="0"/>
    <xf numFmtId="164" fontId="7" fillId="6" borderId="6" applyAlignment="1" pivotButton="0" quotePrefix="0" xfId="0">
      <alignment horizontal="right" vertical="center"/>
    </xf>
    <xf numFmtId="164" fontId="2" fillId="6" borderId="7" applyAlignment="1" pivotButton="0" quotePrefix="0" xfId="0">
      <alignment horizontal="right" vertical="center"/>
    </xf>
    <xf numFmtId="0" fontId="2" fillId="7" borderId="5" applyAlignment="1" pivotButton="0" quotePrefix="0" xfId="0">
      <alignment horizontal="center" vertical="center" wrapText="1"/>
    </xf>
    <xf numFmtId="164" fontId="2" fillId="7" borderId="6" applyAlignment="1" pivotButton="0" quotePrefix="0" xfId="0">
      <alignment horizontal="right" vertical="center"/>
    </xf>
    <xf numFmtId="164" fontId="2" fillId="7" borderId="7" applyAlignment="1" pivotButton="0" quotePrefix="0" xfId="0">
      <alignment horizontal="right" vertical="center"/>
    </xf>
    <xf numFmtId="0" fontId="6" fillId="8" borderId="5" applyAlignment="1" pivotButton="0" quotePrefix="0" xfId="0">
      <alignment horizontal="left" vertical="center"/>
    </xf>
    <xf numFmtId="0" fontId="0" fillId="0" borderId="7" pivotButton="0" quotePrefix="0" xfId="0"/>
    <xf numFmtId="0" fontId="7" fillId="9" borderId="5" pivotButton="0" quotePrefix="0" xfId="0"/>
    <xf numFmtId="164" fontId="2" fillId="9" borderId="6" applyAlignment="1" pivotButton="0" quotePrefix="0" xfId="0">
      <alignment horizontal="right" vertical="center"/>
    </xf>
    <xf numFmtId="164" fontId="2" fillId="9" borderId="7" applyAlignment="1" pivotButton="0" quotePrefix="0" xfId="0">
      <alignment horizontal="right" vertical="center"/>
    </xf>
    <xf numFmtId="0" fontId="0" fillId="9" borderId="6" pivotButton="0" quotePrefix="0" xfId="0"/>
    <xf numFmtId="0" fontId="2" fillId="10" borderId="5" applyAlignment="1" pivotButton="0" quotePrefix="0" xfId="0">
      <alignment horizontal="center" vertical="center" wrapText="1"/>
    </xf>
    <xf numFmtId="164" fontId="2" fillId="10" borderId="6" applyAlignment="1" pivotButton="0" quotePrefix="0" xfId="0">
      <alignment horizontal="right" vertical="center"/>
    </xf>
    <xf numFmtId="164" fontId="2" fillId="10" borderId="7" applyAlignment="1" pivotButton="0" quotePrefix="0" xfId="0">
      <alignment horizontal="right" vertical="center"/>
    </xf>
    <xf numFmtId="0" fontId="8" fillId="3" borderId="8" applyAlignment="1" pivotButton="0" quotePrefix="0" xfId="0">
      <alignment horizontal="center" vertical="center" wrapText="1"/>
    </xf>
    <xf numFmtId="0" fontId="0" fillId="0" borderId="9" pivotButton="0" quotePrefix="0" xfId="0"/>
    <xf numFmtId="164" fontId="9" fillId="3" borderId="9" applyAlignment="1" pivotButton="0" quotePrefix="0" xfId="0">
      <alignment horizontal="right" vertical="center"/>
    </xf>
    <xf numFmtId="164" fontId="8" fillId="11" borderId="10" applyAlignment="1" pivotButton="0" quotePrefix="0" xfId="0">
      <alignment horizontal="right" vertical="center"/>
    </xf>
    <xf numFmtId="0" fontId="1" fillId="12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7" fillId="13" borderId="5" applyAlignment="1" pivotButton="0" quotePrefix="0" xfId="0">
      <alignment horizontal="center" vertical="center" wrapText="1"/>
    </xf>
    <xf numFmtId="0" fontId="7" fillId="13" borderId="6" applyAlignment="1" pivotButton="0" quotePrefix="0" xfId="0">
      <alignment horizontal="left" vertical="center"/>
    </xf>
    <xf numFmtId="0" fontId="0" fillId="13" borderId="6" pivotButton="0" quotePrefix="0" xfId="0"/>
    <xf numFmtId="164" fontId="7" fillId="13" borderId="6" applyAlignment="1" pivotButton="0" quotePrefix="0" xfId="0">
      <alignment horizontal="right" vertical="center"/>
    </xf>
    <xf numFmtId="164" fontId="2" fillId="13" borderId="7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5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3" customWidth="1" min="26" max="26"/>
  </cols>
  <sheetData>
    <row r="1" ht="26" customHeight="1">
      <c r="A1" s="1" t="inlineStr">
        <is>
          <t>週間資金繰表　令和8年4月　AMUSE（岐信当座）</t>
        </is>
      </c>
    </row>
    <row r="2" ht="18" customHeight="1">
      <c r="A2" s="2" t="inlineStr">
        <is>
          <t>前 月 末 残</t>
        </is>
      </c>
      <c r="D2" s="3" t="n">
        <v>2186099</v>
      </c>
      <c r="E2" s="4" t="inlineStr">
        <is>
          <t>← ここに前月末残高を入力してください</t>
        </is>
      </c>
    </row>
    <row r="3" ht="20" customHeight="1">
      <c r="A3" s="5" t="inlineStr">
        <is>
          <t>引落日等</t>
        </is>
      </c>
      <c r="B3" s="5" t="inlineStr">
        <is>
          <t>支　払　項　目</t>
        </is>
      </c>
      <c r="C3" s="5" t="inlineStr"/>
      <c r="D3" s="5" t="inlineStr">
        <is>
          <t>4/1(水)</t>
        </is>
      </c>
      <c r="E3" s="5" t="inlineStr">
        <is>
          <t>4/2(木)</t>
        </is>
      </c>
      <c r="F3" s="5" t="inlineStr">
        <is>
          <t>4/3(金)</t>
        </is>
      </c>
      <c r="G3" s="5" t="inlineStr">
        <is>
          <t>4/6(月)</t>
        </is>
      </c>
      <c r="H3" s="5" t="inlineStr">
        <is>
          <t>4/7(火)</t>
        </is>
      </c>
      <c r="I3" s="5" t="inlineStr">
        <is>
          <t>4/8(水)</t>
        </is>
      </c>
      <c r="J3" s="5" t="inlineStr">
        <is>
          <t>4/9(木)</t>
        </is>
      </c>
      <c r="K3" s="5" t="inlineStr">
        <is>
          <t>4/10(金)</t>
        </is>
      </c>
      <c r="L3" s="5" t="inlineStr">
        <is>
          <t>4/13(月)</t>
        </is>
      </c>
      <c r="M3" s="5" t="inlineStr">
        <is>
          <t>4/14(火)</t>
        </is>
      </c>
      <c r="N3" s="5" t="inlineStr">
        <is>
          <t>4/15(水)</t>
        </is>
      </c>
      <c r="O3" s="5" t="inlineStr">
        <is>
          <t>4/16(木)</t>
        </is>
      </c>
      <c r="P3" s="5" t="inlineStr">
        <is>
          <t>4/17(金)</t>
        </is>
      </c>
      <c r="Q3" s="5" t="inlineStr">
        <is>
          <t>4/20(月)</t>
        </is>
      </c>
      <c r="R3" s="5" t="inlineStr">
        <is>
          <t>4/21(火)</t>
        </is>
      </c>
      <c r="S3" s="5" t="inlineStr">
        <is>
          <t>4/22(水)</t>
        </is>
      </c>
      <c r="T3" s="5" t="inlineStr">
        <is>
          <t>4/23(木)</t>
        </is>
      </c>
      <c r="U3" s="5" t="inlineStr">
        <is>
          <t>4/24(金)</t>
        </is>
      </c>
      <c r="V3" s="5" t="inlineStr">
        <is>
          <t>4/27(月)</t>
        </is>
      </c>
      <c r="W3" s="5" t="inlineStr">
        <is>
          <t>4/28(火)</t>
        </is>
      </c>
      <c r="X3" s="5" t="inlineStr">
        <is>
          <t>4/29(水)</t>
        </is>
      </c>
      <c r="Y3" s="5" t="inlineStr">
        <is>
          <t>4/30(木)</t>
        </is>
      </c>
      <c r="Z3" s="5" t="inlineStr">
        <is>
          <t>月　計</t>
        </is>
      </c>
    </row>
    <row r="4" ht="15" customHeight="1">
      <c r="A4" s="6" t="inlineStr">
        <is>
          <t>【 支　出 】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8" t="n"/>
    </row>
    <row r="5" ht="14" customHeight="1">
      <c r="A5" s="9" t="inlineStr">
        <is>
          <t>10日</t>
        </is>
      </c>
      <c r="B5" s="10" t="inlineStr">
        <is>
          <t>NTT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2" t="n">
        <v>21004</v>
      </c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2" t="n">
        <v>15950</v>
      </c>
      <c r="W5" s="11" t="n"/>
      <c r="X5" s="11" t="n"/>
      <c r="Y5" s="12" t="n">
        <v>6318</v>
      </c>
      <c r="Z5" s="13">
        <f>SUM(D5:Y5)</f>
        <v/>
      </c>
    </row>
    <row r="6" ht="14" customHeight="1">
      <c r="A6" s="14" t="inlineStr">
        <is>
          <t>TCリース25日</t>
        </is>
      </c>
      <c r="B6" s="15" t="inlineStr">
        <is>
          <t>NTT（TCリース）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>
        <v>5291</v>
      </c>
      <c r="Z6" s="18">
        <f>SUM(D6:Y6)</f>
        <v/>
      </c>
    </row>
    <row r="7" ht="14" customHeight="1">
      <c r="A7" s="9" t="inlineStr"/>
      <c r="B7" s="10" t="inlineStr">
        <is>
          <t>大日IP定額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2" t="n">
        <v>52800</v>
      </c>
      <c r="Y7" s="11" t="n"/>
      <c r="Z7" s="13">
        <f>SUM(D7:Y7)</f>
        <v/>
      </c>
    </row>
    <row r="8" ht="14" customHeight="1">
      <c r="A8" s="14" t="inlineStr"/>
      <c r="B8" s="15" t="inlineStr">
        <is>
          <t>KDDI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7" t="n">
        <v>2700</v>
      </c>
      <c r="X8" s="16" t="n"/>
      <c r="Y8" s="16" t="n"/>
      <c r="Z8" s="18">
        <f>SUM(D8:Y8)</f>
        <v/>
      </c>
    </row>
    <row r="9" ht="14" customHeight="1">
      <c r="A9" s="9" t="inlineStr"/>
      <c r="B9" s="10" t="inlineStr">
        <is>
          <t>大日へ</t>
        </is>
      </c>
      <c r="C9" s="11" t="n"/>
      <c r="D9" s="11" t="n"/>
      <c r="E9" s="11" t="n"/>
      <c r="F9" s="11" t="n"/>
      <c r="G9" s="11" t="n"/>
      <c r="H9" s="11" t="n"/>
      <c r="I9" s="11" t="n"/>
      <c r="J9" s="12" t="n">
        <v>440000</v>
      </c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2" t="n">
        <v>5000000</v>
      </c>
      <c r="Z9" s="13">
        <f>SUM(D9:Y9)</f>
        <v/>
      </c>
    </row>
    <row r="10" ht="14" customHeight="1">
      <c r="A10" s="14" t="inlineStr"/>
      <c r="B10" s="15" t="inlineStr">
        <is>
          <t>テレマーカー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8">
        <f>SUM(D10:Y10)</f>
        <v/>
      </c>
    </row>
    <row r="11" ht="14" customHeight="1">
      <c r="A11" s="9" t="inlineStr"/>
      <c r="B11" s="10" t="inlineStr">
        <is>
          <t>山田組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2" t="n">
        <v>19360</v>
      </c>
      <c r="R11" s="11" t="n"/>
      <c r="S11" s="11" t="n"/>
      <c r="T11" s="11" t="n"/>
      <c r="U11" s="11" t="n"/>
      <c r="V11" s="11" t="n"/>
      <c r="W11" s="11" t="n"/>
      <c r="X11" s="11" t="n"/>
      <c r="Y11" s="11" t="n"/>
      <c r="Z11" s="13">
        <f>SUM(D11:Y11)</f>
        <v/>
      </c>
    </row>
    <row r="12" ht="14" customHeight="1">
      <c r="A12" s="14" t="inlineStr"/>
      <c r="B12" s="15" t="inlineStr">
        <is>
          <t>ブリックス社労士</t>
        </is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7" t="n">
        <v>30935</v>
      </c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8">
        <f>SUM(D12:Y12)</f>
        <v/>
      </c>
    </row>
    <row r="13" ht="14" customHeight="1">
      <c r="A13" s="9" t="inlineStr"/>
      <c r="B13" s="10" t="inlineStr">
        <is>
          <t>ぎしんBIZ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2" t="n">
        <v>3300</v>
      </c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3">
        <f>SUM(D13:Y13)</f>
        <v/>
      </c>
    </row>
    <row r="14" ht="14" customHeight="1">
      <c r="A14" s="14" t="inlineStr"/>
      <c r="B14" s="15" t="inlineStr">
        <is>
          <t>東邦ガス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8">
        <f>SUM(D14:Y14)</f>
        <v/>
      </c>
    </row>
    <row r="15" ht="14" customHeight="1">
      <c r="A15" s="9" t="inlineStr"/>
      <c r="B15" s="10" t="inlineStr">
        <is>
          <t>水道料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2" t="n">
        <v>1892</v>
      </c>
      <c r="Y15" s="11" t="n"/>
      <c r="Z15" s="13">
        <f>SUM(D15:Y15)</f>
        <v/>
      </c>
    </row>
    <row r="16" ht="14" customHeight="1">
      <c r="A16" s="14" t="inlineStr"/>
      <c r="B16" s="15" t="inlineStr">
        <is>
          <t>電気料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7" t="n">
        <v>862474</v>
      </c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8">
        <f>SUM(D16:Y16)</f>
        <v/>
      </c>
    </row>
    <row r="17" ht="14" customHeight="1">
      <c r="A17" s="9" t="inlineStr"/>
      <c r="B17" s="10" t="inlineStr">
        <is>
          <t>十六リース（設備）</t>
        </is>
      </c>
      <c r="C17" s="11" t="n"/>
      <c r="D17" s="11" t="n"/>
      <c r="E17" s="11" t="n"/>
      <c r="F17" s="11" t="n"/>
      <c r="G17" s="11" t="n"/>
      <c r="H17" s="11" t="n"/>
      <c r="I17" s="11" t="n"/>
      <c r="J17" s="12" t="n">
        <v>288200</v>
      </c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3">
        <f>SUM(D17:Y17)</f>
        <v/>
      </c>
    </row>
    <row r="18" ht="14" customHeight="1">
      <c r="A18" s="14" t="inlineStr"/>
      <c r="B18" s="15" t="inlineStr">
        <is>
          <t>十六リース（機械）</t>
        </is>
      </c>
      <c r="C18" s="16" t="n"/>
      <c r="D18" s="16" t="n"/>
      <c r="E18" s="16" t="n"/>
      <c r="F18" s="16" t="n"/>
      <c r="G18" s="16" t="n"/>
      <c r="H18" s="16" t="n"/>
      <c r="I18" s="16" t="n"/>
      <c r="J18" s="17" t="n">
        <v>2718595</v>
      </c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8">
        <f>SUM(D18:Y18)</f>
        <v/>
      </c>
    </row>
    <row r="19" ht="14" customHeight="1">
      <c r="A19" s="9" t="inlineStr">
        <is>
          <t>ロボットペイ</t>
        </is>
      </c>
      <c r="B19" s="10" t="inlineStr">
        <is>
          <t>イージス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2" t="n">
        <v>11165</v>
      </c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3">
        <f>SUM(D19:Y19)</f>
        <v/>
      </c>
    </row>
    <row r="20" ht="14" customHeight="1">
      <c r="A20" s="14" t="inlineStr"/>
      <c r="B20" s="15" t="inlineStr">
        <is>
          <t>高田繊維</t>
        </is>
      </c>
      <c r="C20" s="16" t="n"/>
      <c r="D20" s="16" t="n"/>
      <c r="E20" s="16" t="n"/>
      <c r="F20" s="16" t="n"/>
      <c r="G20" s="16" t="n"/>
      <c r="H20" s="16" t="n"/>
      <c r="I20" s="16" t="n"/>
      <c r="J20" s="17" t="n">
        <v>432400</v>
      </c>
      <c r="K20" s="16" t="n"/>
      <c r="L20" s="16" t="n"/>
      <c r="M20" s="16" t="n"/>
      <c r="N20" s="16" t="n"/>
      <c r="O20" s="16" t="n"/>
      <c r="P20" s="17" t="n">
        <v>142316</v>
      </c>
      <c r="Q20" s="16" t="n"/>
      <c r="R20" s="16" t="n"/>
      <c r="S20" s="16" t="n"/>
      <c r="T20" s="16" t="n"/>
      <c r="U20" s="16" t="n"/>
      <c r="V20" s="16" t="n"/>
      <c r="W20" s="16" t="n"/>
      <c r="X20" s="17" t="n">
        <v>93248</v>
      </c>
      <c r="Y20" s="16" t="n"/>
      <c r="Z20" s="18">
        <f>SUM(D20:Y20)</f>
        <v/>
      </c>
    </row>
    <row r="21" ht="14" customHeight="1">
      <c r="A21" s="9" t="inlineStr"/>
      <c r="B21" s="10" t="inlineStr">
        <is>
          <t>しんきんコピー機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2" t="n">
        <v>13860</v>
      </c>
      <c r="V21" s="11" t="n"/>
      <c r="W21" s="11" t="n"/>
      <c r="X21" s="11" t="n"/>
      <c r="Y21" s="11" t="n"/>
      <c r="Z21" s="13">
        <f>SUM(D21:Y21)</f>
        <v/>
      </c>
    </row>
    <row r="22" ht="14" customHeight="1">
      <c r="A22" s="14" t="inlineStr"/>
      <c r="B22" s="15" t="inlineStr">
        <is>
          <t>位田会計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7" t="n">
        <v>127600</v>
      </c>
      <c r="V22" s="16" t="n"/>
      <c r="W22" s="16" t="n"/>
      <c r="X22" s="16" t="n"/>
      <c r="Y22" s="16" t="n"/>
      <c r="Z22" s="18">
        <f>SUM(D22:Y22)</f>
        <v/>
      </c>
    </row>
    <row r="23" ht="14" customHeight="1">
      <c r="A23" s="9" t="inlineStr"/>
      <c r="B23" s="10" t="inlineStr">
        <is>
          <t>源泉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3">
        <f>SUM(D23:Y23)</f>
        <v/>
      </c>
    </row>
    <row r="24" ht="14" customHeight="1">
      <c r="A24" s="14" t="inlineStr"/>
      <c r="B24" s="15" t="inlineStr">
        <is>
          <t>住民税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7" t="n">
        <v>61500</v>
      </c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8">
        <f>SUM(D24:Y24)</f>
        <v/>
      </c>
    </row>
    <row r="25" ht="14" customHeight="1">
      <c r="A25" s="9" t="inlineStr"/>
      <c r="B25" s="10" t="inlineStr">
        <is>
          <t>県遊協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3">
        <f>SUM(D25:Y25)</f>
        <v/>
      </c>
    </row>
    <row r="26" ht="14" customHeight="1">
      <c r="A26" s="14" t="inlineStr"/>
      <c r="B26" s="15" t="inlineStr">
        <is>
          <t>労働保険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8">
        <f>SUM(D26:Y26)</f>
        <v/>
      </c>
    </row>
    <row r="27" ht="14" customHeight="1">
      <c r="A27" s="9" t="inlineStr"/>
      <c r="B27" s="10" t="inlineStr">
        <is>
          <t>でんさい手数料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2" t="n">
        <v>15840</v>
      </c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3">
        <f>SUM(D27:Y27)</f>
        <v/>
      </c>
    </row>
    <row r="28" ht="14" customHeight="1">
      <c r="A28" s="14" t="inlineStr"/>
      <c r="B28" s="15" t="inlineStr">
        <is>
          <t>振込手数料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7" t="n">
        <v>34760</v>
      </c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8">
        <f>SUM(D28:Y28)</f>
        <v/>
      </c>
    </row>
    <row r="29" ht="14" customHeight="1">
      <c r="A29" s="9" t="inlineStr"/>
      <c r="B29" s="10" t="inlineStr">
        <is>
          <t>給料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2" t="n">
        <v>2758340</v>
      </c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3">
        <f>SUM(D29:Y29)</f>
        <v/>
      </c>
    </row>
    <row r="30" ht="14" customHeight="1">
      <c r="A30" s="14" t="inlineStr"/>
      <c r="B30" s="15" t="inlineStr">
        <is>
          <t>役員/株主返済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8">
        <f>SUM(D30:Y30)</f>
        <v/>
      </c>
    </row>
    <row r="31" ht="14" customHeight="1">
      <c r="A31" s="9" t="inlineStr"/>
      <c r="B31" s="10" t="inlineStr">
        <is>
          <t>社会保険料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2" t="n">
        <v>640000</v>
      </c>
      <c r="Z31" s="13">
        <f>SUM(D31:Y31)</f>
        <v/>
      </c>
    </row>
    <row r="32" ht="14" customHeight="1">
      <c r="A32" s="14" t="inlineStr"/>
      <c r="B32" s="15" t="inlineStr">
        <is>
          <t>固定資産税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8">
        <f>SUM(D32:Y32)</f>
        <v/>
      </c>
    </row>
    <row r="33" ht="14" customHeight="1">
      <c r="A33" s="9" t="inlineStr"/>
      <c r="B33" s="10" t="inlineStr">
        <is>
          <t>グローリー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2" t="n">
        <v>360640</v>
      </c>
      <c r="W33" s="11" t="n"/>
      <c r="X33" s="11" t="n"/>
      <c r="Y33" s="11" t="n"/>
      <c r="Z33" s="13">
        <f>SUM(D33:Y33)</f>
        <v/>
      </c>
    </row>
    <row r="34" ht="14" customHeight="1">
      <c r="A34" s="14" t="inlineStr"/>
      <c r="B34" s="15" t="inlineStr">
        <is>
          <t>フジコム手形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7" t="n">
        <v>1557215</v>
      </c>
      <c r="R34" s="16" t="n"/>
      <c r="S34" s="16" t="n"/>
      <c r="T34" s="16" t="n"/>
      <c r="U34" s="16" t="n"/>
      <c r="V34" s="16" t="n"/>
      <c r="W34" s="16" t="n"/>
      <c r="X34" s="16" t="n"/>
      <c r="Y34" s="16" t="n"/>
      <c r="Z34" s="18">
        <f>SUM(D34:Y34)</f>
        <v/>
      </c>
    </row>
    <row r="35" ht="14" customHeight="1">
      <c r="A35" s="9" t="inlineStr">
        <is>
          <t>26日</t>
        </is>
      </c>
      <c r="B35" s="10" t="inlineStr">
        <is>
          <t>北出家賃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2" t="n">
        <v>76250</v>
      </c>
      <c r="X35" s="11" t="n"/>
      <c r="Y35" s="11" t="n"/>
      <c r="Z35" s="13">
        <f>SUM(D35:Y35)</f>
        <v/>
      </c>
    </row>
    <row r="36" ht="14" customHeight="1">
      <c r="A36" s="14" t="inlineStr">
        <is>
          <t>26日</t>
        </is>
      </c>
      <c r="B36" s="15" t="inlineStr">
        <is>
          <t>アルソック入金機</t>
        </is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7" t="n">
        <v>88000</v>
      </c>
      <c r="X36" s="16" t="n"/>
      <c r="Y36" s="16" t="n"/>
      <c r="Z36" s="18">
        <f>SUM(D36:Y36)</f>
        <v/>
      </c>
    </row>
    <row r="37" ht="14" customHeight="1">
      <c r="A37" s="9" t="inlineStr"/>
      <c r="B37" s="10" t="inlineStr">
        <is>
          <t>銀行返済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2" t="n">
        <v>3700000</v>
      </c>
      <c r="X37" s="11" t="n"/>
      <c r="Y37" s="11" t="n"/>
      <c r="Z37" s="13">
        <f>SUM(D37:Y37)</f>
        <v/>
      </c>
    </row>
    <row r="38" ht="14" customHeight="1">
      <c r="A38" s="14" t="inlineStr">
        <is>
          <t>26日</t>
        </is>
      </c>
      <c r="B38" s="15" t="inlineStr">
        <is>
          <t>ヤマト26日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7" t="n">
        <v>660</v>
      </c>
      <c r="W38" s="16" t="n"/>
      <c r="X38" s="16" t="n"/>
      <c r="Y38" s="16" t="n"/>
      <c r="Z38" s="18">
        <f>SUM(D38:Y38)</f>
        <v/>
      </c>
    </row>
    <row r="39" ht="14" customHeight="1">
      <c r="A39" s="9" t="inlineStr">
        <is>
          <t>27日</t>
        </is>
      </c>
      <c r="B39" s="10" t="inlineStr">
        <is>
          <t>北電子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2" t="n">
        <v>49280</v>
      </c>
      <c r="W39" s="11" t="n"/>
      <c r="X39" s="11" t="n"/>
      <c r="Y39" s="11" t="n"/>
      <c r="Z39" s="13">
        <f>SUM(D39:Y39)</f>
        <v/>
      </c>
    </row>
    <row r="40" ht="14" customHeight="1">
      <c r="A40" s="14" t="inlineStr"/>
      <c r="B40" s="15" t="inlineStr">
        <is>
          <t>機械手形</t>
        </is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>
        <v>1411595</v>
      </c>
      <c r="Z40" s="18">
        <f>SUM(D40:Y40)</f>
        <v/>
      </c>
    </row>
    <row r="41" ht="14" customHeight="1">
      <c r="A41" s="9" t="inlineStr"/>
      <c r="B41" s="10" t="inlineStr">
        <is>
          <t>機械他（小切手）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2" t="n">
        <v>613932</v>
      </c>
      <c r="X41" s="11" t="n"/>
      <c r="Y41" s="11" t="n"/>
      <c r="Z41" s="13">
        <f>SUM(D41:Y41)</f>
        <v/>
      </c>
    </row>
    <row r="42" ht="14" customHeight="1">
      <c r="A42" s="14" t="inlineStr"/>
      <c r="B42" s="15" t="inlineStr">
        <is>
          <t>月末振込</t>
        </is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7" t="n">
        <v>2622018</v>
      </c>
      <c r="X42" s="16" t="n"/>
      <c r="Y42" s="16" t="n"/>
      <c r="Z42" s="18">
        <f>SUM(D42:Y42)</f>
        <v/>
      </c>
    </row>
    <row r="43" ht="14" customHeight="1">
      <c r="A43" s="9" t="inlineStr"/>
      <c r="B43" s="10" t="inlineStr">
        <is>
          <t>ダイコク（自）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2" t="n">
        <v>38500</v>
      </c>
      <c r="X43" s="11" t="n"/>
      <c r="Y43" s="11" t="n"/>
      <c r="Z43" s="13">
        <f>SUM(D43:Y43)</f>
        <v/>
      </c>
    </row>
    <row r="44" ht="14" customHeight="1">
      <c r="A44" s="14" t="inlineStr"/>
      <c r="B44" s="15" t="inlineStr">
        <is>
          <t>納税</t>
        </is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7" t="n">
        <v>501668</v>
      </c>
      <c r="Z44" s="18">
        <f>SUM(D44:Y44)</f>
        <v/>
      </c>
    </row>
    <row r="45" ht="14" customHeight="1">
      <c r="A45" s="9" t="inlineStr"/>
      <c r="B45" s="10" t="inlineStr">
        <is>
          <t>電気・ガス代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3">
        <f>SUM(D45:Y45)</f>
        <v/>
      </c>
    </row>
    <row r="46" ht="14" customHeight="1">
      <c r="A46" s="14" t="inlineStr"/>
      <c r="B46" s="15" t="inlineStr">
        <is>
          <t>ウェルピアへ</t>
        </is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8">
        <f>SUM(D46:Y46)</f>
        <v/>
      </c>
    </row>
    <row r="47" ht="14" customHeight="1">
      <c r="A47" s="9" t="inlineStr"/>
      <c r="B47" s="10" t="inlineStr">
        <is>
          <t>小口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3">
        <f>SUM(D47:Y47)</f>
        <v/>
      </c>
    </row>
    <row r="48" ht="14" customHeight="1">
      <c r="A48" s="14" t="inlineStr"/>
      <c r="B48" s="15" t="inlineStr">
        <is>
          <t>その他①</t>
        </is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8">
        <f>SUM(D48:Y48)</f>
        <v/>
      </c>
    </row>
    <row r="49" ht="14" customHeight="1">
      <c r="A49" s="9" t="inlineStr"/>
      <c r="B49" s="10" t="inlineStr">
        <is>
          <t>その他②</t>
        </is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3">
        <f>SUM(D49:Y49)</f>
        <v/>
      </c>
    </row>
    <row r="50" ht="16" customHeight="1">
      <c r="A50" s="19" t="inlineStr">
        <is>
          <t>支　払　合　計</t>
        </is>
      </c>
      <c r="B50" s="11" t="n"/>
      <c r="C50" s="11" t="n"/>
      <c r="D50" s="20">
        <f>SUM(D5:D49)</f>
        <v/>
      </c>
      <c r="E50" s="20">
        <f>SUM(E5:E49)</f>
        <v/>
      </c>
      <c r="F50" s="20">
        <f>SUM(F5:F49)</f>
        <v/>
      </c>
      <c r="G50" s="20">
        <f>SUM(G5:G49)</f>
        <v/>
      </c>
      <c r="H50" s="20">
        <f>SUM(H5:H49)</f>
        <v/>
      </c>
      <c r="I50" s="20">
        <f>SUM(I5:I49)</f>
        <v/>
      </c>
      <c r="J50" s="20">
        <f>SUM(J5:J49)</f>
        <v/>
      </c>
      <c r="K50" s="20">
        <f>SUM(K5:K49)</f>
        <v/>
      </c>
      <c r="L50" s="20">
        <f>SUM(L5:L49)</f>
        <v/>
      </c>
      <c r="M50" s="20">
        <f>SUM(M5:M49)</f>
        <v/>
      </c>
      <c r="N50" s="20">
        <f>SUM(N5:N49)</f>
        <v/>
      </c>
      <c r="O50" s="20">
        <f>SUM(O5:O49)</f>
        <v/>
      </c>
      <c r="P50" s="20">
        <f>SUM(P5:P49)</f>
        <v/>
      </c>
      <c r="Q50" s="20">
        <f>SUM(Q5:Q49)</f>
        <v/>
      </c>
      <c r="R50" s="20">
        <f>SUM(R5:R49)</f>
        <v/>
      </c>
      <c r="S50" s="20">
        <f>SUM(S5:S49)</f>
        <v/>
      </c>
      <c r="T50" s="20">
        <f>SUM(T5:T49)</f>
        <v/>
      </c>
      <c r="U50" s="20">
        <f>SUM(U5:U49)</f>
        <v/>
      </c>
      <c r="V50" s="20">
        <f>SUM(V5:V49)</f>
        <v/>
      </c>
      <c r="W50" s="20">
        <f>SUM(W5:W49)</f>
        <v/>
      </c>
      <c r="X50" s="20">
        <f>SUM(X5:X49)</f>
        <v/>
      </c>
      <c r="Y50" s="20">
        <f>SUM(Y5:Y49)</f>
        <v/>
      </c>
      <c r="Z50" s="21">
        <f>SUM(D50:Y50)</f>
        <v/>
      </c>
    </row>
    <row r="51" ht="15" customHeight="1">
      <c r="A51" s="22" t="inlineStr">
        <is>
          <t>【 収　入 】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23" t="n"/>
    </row>
    <row r="52" ht="14" customHeight="1">
      <c r="A52" s="24" t="n"/>
      <c r="B52" s="11" t="n"/>
      <c r="C52" s="11" t="n"/>
      <c r="D52" s="25" t="n">
        <v>813500</v>
      </c>
      <c r="E52" s="25" t="n">
        <v>340200</v>
      </c>
      <c r="F52" s="25" t="n">
        <v>360700</v>
      </c>
      <c r="G52" s="25" t="n">
        <v>2973600</v>
      </c>
      <c r="H52" s="25" t="n">
        <v>186000</v>
      </c>
      <c r="I52" s="25" t="n">
        <v>1028200</v>
      </c>
      <c r="J52" s="25" t="n">
        <v>672000</v>
      </c>
      <c r="K52" s="25" t="n">
        <v>514200</v>
      </c>
      <c r="L52" s="25" t="n">
        <v>3500000</v>
      </c>
      <c r="M52" s="25" t="n">
        <v>652200</v>
      </c>
      <c r="N52" s="25" t="n">
        <v>463900</v>
      </c>
      <c r="O52" s="25" t="n">
        <v>517100</v>
      </c>
      <c r="P52" s="25" t="n">
        <v>500000</v>
      </c>
      <c r="Q52" s="25" t="n">
        <v>2500000</v>
      </c>
      <c r="R52" s="25" t="n">
        <v>500000</v>
      </c>
      <c r="S52" s="25" t="n">
        <v>500000</v>
      </c>
      <c r="T52" s="25" t="n">
        <v>500000</v>
      </c>
      <c r="U52" s="25" t="n">
        <v>500000</v>
      </c>
      <c r="V52" s="25" t="n">
        <v>2500000</v>
      </c>
      <c r="W52" s="25" t="n"/>
      <c r="X52" s="25" t="n">
        <v>500000</v>
      </c>
      <c r="Y52" s="25" t="n">
        <v>500000</v>
      </c>
      <c r="Z52" s="26">
        <f>SUM(D52:Y52)</f>
        <v/>
      </c>
    </row>
    <row r="53" ht="14" customHeight="1">
      <c r="A53" s="24" t="n"/>
      <c r="B53" s="11" t="n"/>
      <c r="C53" s="11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5" t="n">
        <v>22000</v>
      </c>
      <c r="W53" s="27" t="n"/>
      <c r="X53" s="27" t="n"/>
      <c r="Y53" s="27" t="n"/>
      <c r="Z53" s="26">
        <f>SUM(D53:Y53)</f>
        <v/>
      </c>
    </row>
    <row r="54" ht="14" customHeight="1">
      <c r="A54" s="24" t="n"/>
      <c r="B54" s="11" t="n"/>
      <c r="C54" s="11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5" t="n">
        <v>110000</v>
      </c>
      <c r="X54" s="27" t="n"/>
      <c r="Y54" s="27" t="n"/>
      <c r="Z54" s="26">
        <f>SUM(D54:Y54)</f>
        <v/>
      </c>
    </row>
    <row r="55" ht="16" customHeight="1">
      <c r="A55" s="28" t="inlineStr">
        <is>
          <t>収　入　合　計</t>
        </is>
      </c>
      <c r="B55" s="11" t="n"/>
      <c r="C55" s="11" t="n"/>
      <c r="D55" s="29">
        <f>SUM(D52:D54)</f>
        <v/>
      </c>
      <c r="E55" s="29">
        <f>SUM(E52:E54)</f>
        <v/>
      </c>
      <c r="F55" s="29">
        <f>SUM(F52:F54)</f>
        <v/>
      </c>
      <c r="G55" s="29">
        <f>SUM(G52:G54)</f>
        <v/>
      </c>
      <c r="H55" s="29">
        <f>SUM(H52:H54)</f>
        <v/>
      </c>
      <c r="I55" s="29">
        <f>SUM(I52:I54)</f>
        <v/>
      </c>
      <c r="J55" s="29">
        <f>SUM(J52:J54)</f>
        <v/>
      </c>
      <c r="K55" s="29">
        <f>SUM(K52:K54)</f>
        <v/>
      </c>
      <c r="L55" s="29">
        <f>SUM(L52:L54)</f>
        <v/>
      </c>
      <c r="M55" s="29">
        <f>SUM(M52:M54)</f>
        <v/>
      </c>
      <c r="N55" s="29">
        <f>SUM(N52:N54)</f>
        <v/>
      </c>
      <c r="O55" s="29">
        <f>SUM(O52:O54)</f>
        <v/>
      </c>
      <c r="P55" s="29">
        <f>SUM(P52:P54)</f>
        <v/>
      </c>
      <c r="Q55" s="29">
        <f>SUM(Q52:Q54)</f>
        <v/>
      </c>
      <c r="R55" s="29">
        <f>SUM(R52:R54)</f>
        <v/>
      </c>
      <c r="S55" s="29">
        <f>SUM(S52:S54)</f>
        <v/>
      </c>
      <c r="T55" s="29">
        <f>SUM(T52:T54)</f>
        <v/>
      </c>
      <c r="U55" s="29">
        <f>SUM(U52:U54)</f>
        <v/>
      </c>
      <c r="V55" s="29">
        <f>SUM(V52:V54)</f>
        <v/>
      </c>
      <c r="W55" s="29">
        <f>SUM(W52:W54)</f>
        <v/>
      </c>
      <c r="X55" s="29">
        <f>SUM(X52:X54)</f>
        <v/>
      </c>
      <c r="Y55" s="29">
        <f>SUM(Y52:Y54)</f>
        <v/>
      </c>
      <c r="Z55" s="30">
        <f>SUM(D55:Y55)</f>
        <v/>
      </c>
    </row>
    <row r="56" ht="20" customHeight="1">
      <c r="A56" s="31" t="inlineStr">
        <is>
          <t>残　　　高</t>
        </is>
      </c>
      <c r="B56" s="32" t="n"/>
      <c r="C56" s="32" t="n"/>
      <c r="D56" s="33">
        <f>B2+D55-D50</f>
        <v/>
      </c>
      <c r="E56" s="33">
        <f>D56+E55-E50</f>
        <v/>
      </c>
      <c r="F56" s="33">
        <f>E56+F55-F50</f>
        <v/>
      </c>
      <c r="G56" s="33">
        <f>F56+G55-G50</f>
        <v/>
      </c>
      <c r="H56" s="33">
        <f>G56+H55-H50</f>
        <v/>
      </c>
      <c r="I56" s="33">
        <f>H56+I55-I50</f>
        <v/>
      </c>
      <c r="J56" s="33">
        <f>I56+J55-J50</f>
        <v/>
      </c>
      <c r="K56" s="33">
        <f>J56+K55-K50</f>
        <v/>
      </c>
      <c r="L56" s="33">
        <f>K56+L55-L50</f>
        <v/>
      </c>
      <c r="M56" s="33">
        <f>L56+M55-M50</f>
        <v/>
      </c>
      <c r="N56" s="33">
        <f>M56+N55-N50</f>
        <v/>
      </c>
      <c r="O56" s="33">
        <f>N56+O55-O50</f>
        <v/>
      </c>
      <c r="P56" s="33">
        <f>O56+P55-P50</f>
        <v/>
      </c>
      <c r="Q56" s="33">
        <f>P56+Q55-Q50</f>
        <v/>
      </c>
      <c r="R56" s="33">
        <f>Q56+R55-R50</f>
        <v/>
      </c>
      <c r="S56" s="33">
        <f>R56+S55-S50</f>
        <v/>
      </c>
      <c r="T56" s="33">
        <f>S56+T55-T50</f>
        <v/>
      </c>
      <c r="U56" s="33">
        <f>T56+U55-U50</f>
        <v/>
      </c>
      <c r="V56" s="33">
        <f>U56+V55-V50</f>
        <v/>
      </c>
      <c r="W56" s="33">
        <f>V56+W55-W50</f>
        <v/>
      </c>
      <c r="X56" s="33">
        <f>W56+X55-X50</f>
        <v/>
      </c>
      <c r="Y56" s="33">
        <f>X56+Y55-Y50</f>
        <v/>
      </c>
      <c r="Z56" s="34">
        <f>Y56</f>
        <v/>
      </c>
    </row>
  </sheetData>
  <mergeCells count="11">
    <mergeCell ref="E2:Z2"/>
    <mergeCell ref="A1:Z1"/>
    <mergeCell ref="A56:C56"/>
    <mergeCell ref="A4:Z4"/>
    <mergeCell ref="A53:C53"/>
    <mergeCell ref="A55:C55"/>
    <mergeCell ref="A50:C50"/>
    <mergeCell ref="A54:C54"/>
    <mergeCell ref="A2:C2"/>
    <mergeCell ref="A51:Z51"/>
    <mergeCell ref="A52:C5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6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3" customWidth="1" min="26" max="26"/>
  </cols>
  <sheetData>
    <row r="1" ht="26" customHeight="1">
      <c r="A1" s="35" t="inlineStr">
        <is>
          <t>週間資金繰表　令和8年4月　大日産業（岐信当座）</t>
        </is>
      </c>
    </row>
    <row r="2" ht="18" customHeight="1">
      <c r="A2" s="2" t="inlineStr">
        <is>
          <t>前 月 末 残</t>
        </is>
      </c>
      <c r="D2" s="3" t="n">
        <v>5083029</v>
      </c>
      <c r="E2" s="4" t="inlineStr">
        <is>
          <t>← ここに前月末残高を入力してください</t>
        </is>
      </c>
    </row>
    <row r="3" ht="20" customHeight="1">
      <c r="A3" s="36" t="inlineStr">
        <is>
          <t>引落日等</t>
        </is>
      </c>
      <c r="B3" s="36" t="inlineStr">
        <is>
          <t>支　払　項　目</t>
        </is>
      </c>
      <c r="C3" s="36" t="inlineStr"/>
      <c r="D3" s="36" t="inlineStr">
        <is>
          <t>4/1(水)</t>
        </is>
      </c>
      <c r="E3" s="36" t="inlineStr">
        <is>
          <t>4/2(木)</t>
        </is>
      </c>
      <c r="F3" s="36" t="inlineStr">
        <is>
          <t>4/3(金)</t>
        </is>
      </c>
      <c r="G3" s="36" t="inlineStr">
        <is>
          <t>4/6(月)</t>
        </is>
      </c>
      <c r="H3" s="36" t="inlineStr">
        <is>
          <t>4/7(火)</t>
        </is>
      </c>
      <c r="I3" s="36" t="inlineStr">
        <is>
          <t>4/8(水)</t>
        </is>
      </c>
      <c r="J3" s="36" t="inlineStr">
        <is>
          <t>4/9(木)</t>
        </is>
      </c>
      <c r="K3" s="36" t="inlineStr">
        <is>
          <t>4/10(金)</t>
        </is>
      </c>
      <c r="L3" s="36" t="inlineStr">
        <is>
          <t>4/13(月)</t>
        </is>
      </c>
      <c r="M3" s="36" t="inlineStr">
        <is>
          <t>4/14(火)</t>
        </is>
      </c>
      <c r="N3" s="36" t="inlineStr">
        <is>
          <t>4/15(水)</t>
        </is>
      </c>
      <c r="O3" s="36" t="inlineStr">
        <is>
          <t>4/16(木)</t>
        </is>
      </c>
      <c r="P3" s="36" t="inlineStr">
        <is>
          <t>4/17(金)</t>
        </is>
      </c>
      <c r="Q3" s="36" t="inlineStr">
        <is>
          <t>4/20(月)</t>
        </is>
      </c>
      <c r="R3" s="36" t="inlineStr">
        <is>
          <t>4/21(火)</t>
        </is>
      </c>
      <c r="S3" s="36" t="inlineStr">
        <is>
          <t>4/22(水)</t>
        </is>
      </c>
      <c r="T3" s="36" t="inlineStr">
        <is>
          <t>4/23(木)</t>
        </is>
      </c>
      <c r="U3" s="36" t="inlineStr">
        <is>
          <t>4/24(金)</t>
        </is>
      </c>
      <c r="V3" s="36" t="inlineStr">
        <is>
          <t>4/27(月)</t>
        </is>
      </c>
      <c r="W3" s="36" t="inlineStr">
        <is>
          <t>4/28(火)</t>
        </is>
      </c>
      <c r="X3" s="36" t="inlineStr">
        <is>
          <t>4/29(水)</t>
        </is>
      </c>
      <c r="Y3" s="36" t="inlineStr">
        <is>
          <t>4/30(木)</t>
        </is>
      </c>
      <c r="Z3" s="36" t="inlineStr">
        <is>
          <t>月　計</t>
        </is>
      </c>
    </row>
    <row r="4" ht="15" customHeight="1">
      <c r="A4" s="6" t="inlineStr">
        <is>
          <t>【 支　出 】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8" t="n"/>
    </row>
    <row r="5" ht="14" customHeight="1">
      <c r="A5" s="9" t="inlineStr">
        <is>
          <t>トヨタF</t>
        </is>
      </c>
      <c r="B5" s="10" t="inlineStr">
        <is>
          <t>ENEOS ビジネス</t>
        </is>
      </c>
      <c r="C5" s="11" t="n"/>
      <c r="D5" s="11" t="n"/>
      <c r="E5" s="11" t="n"/>
      <c r="F5" s="11" t="n"/>
      <c r="G5" s="12" t="n">
        <v>74805</v>
      </c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3">
        <f>SUM(D5:Y5)</f>
        <v/>
      </c>
    </row>
    <row r="6" ht="14" customHeight="1">
      <c r="A6" s="37" t="inlineStr"/>
      <c r="B6" s="38" t="inlineStr">
        <is>
          <t>JCB</t>
        </is>
      </c>
      <c r="C6" s="39" t="n"/>
      <c r="D6" s="39" t="n"/>
      <c r="E6" s="39" t="n"/>
      <c r="F6" s="39" t="n"/>
      <c r="G6" s="39" t="n"/>
      <c r="H6" s="39" t="n"/>
      <c r="I6" s="39" t="n"/>
      <c r="J6" s="39" t="n"/>
      <c r="K6" s="40" t="n">
        <v>82270</v>
      </c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1">
        <f>SUM(D6:Y6)</f>
        <v/>
      </c>
    </row>
    <row r="7" ht="14" customHeight="1">
      <c r="A7" s="9" t="inlineStr"/>
      <c r="B7" s="10" t="inlineStr">
        <is>
          <t>JCB（ガソリン）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3">
        <f>SUM(D7:Y7)</f>
        <v/>
      </c>
    </row>
    <row r="8" ht="14" customHeight="1">
      <c r="A8" s="37" t="inlineStr"/>
      <c r="B8" s="38" t="inlineStr">
        <is>
          <t>タキ新聞店</t>
        </is>
      </c>
      <c r="C8" s="39" t="n"/>
      <c r="D8" s="39" t="n"/>
      <c r="E8" s="39" t="n"/>
      <c r="F8" s="39" t="n"/>
      <c r="G8" s="40" t="n">
        <v>3350</v>
      </c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41">
        <f>SUM(D8:Y8)</f>
        <v/>
      </c>
    </row>
    <row r="9" ht="14" customHeight="1">
      <c r="A9" s="9" t="inlineStr"/>
      <c r="B9" s="10" t="inlineStr">
        <is>
          <t>セディナ三井住友</t>
        </is>
      </c>
      <c r="C9" s="11" t="n"/>
      <c r="D9" s="11" t="n"/>
      <c r="E9" s="11" t="n"/>
      <c r="F9" s="11" t="n"/>
      <c r="G9" s="12" t="n">
        <v>5562</v>
      </c>
      <c r="H9" s="11" t="n"/>
      <c r="I9" s="11" t="n"/>
      <c r="J9" s="11" t="n"/>
      <c r="K9" s="12" t="n">
        <v>1470</v>
      </c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3">
        <f>SUM(D9:Y9)</f>
        <v/>
      </c>
    </row>
    <row r="10" ht="14" customHeight="1">
      <c r="A10" s="37" t="inlineStr"/>
      <c r="B10" s="38" t="inlineStr">
        <is>
          <t>安心財団</t>
        </is>
      </c>
      <c r="C10" s="39" t="n"/>
      <c r="D10" s="39" t="n"/>
      <c r="E10" s="39" t="n"/>
      <c r="F10" s="39" t="n"/>
      <c r="G10" s="40" t="n">
        <v>2000</v>
      </c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41">
        <f>SUM(D10:Y10)</f>
        <v/>
      </c>
    </row>
    <row r="11" ht="14" customHeight="1">
      <c r="A11" s="9" t="inlineStr"/>
      <c r="B11" s="10" t="inlineStr">
        <is>
          <t>トヨタ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3">
        <f>SUM(D11:Y11)</f>
        <v/>
      </c>
    </row>
    <row r="12" ht="14" customHeight="1">
      <c r="A12" s="37" t="inlineStr"/>
      <c r="B12" s="38" t="inlineStr">
        <is>
          <t>KDDI</t>
        </is>
      </c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40" t="n">
        <v>7000</v>
      </c>
      <c r="Y12" s="40" t="n">
        <v>2500</v>
      </c>
      <c r="Z12" s="41">
        <f>SUM(D12:Y12)</f>
        <v/>
      </c>
    </row>
    <row r="13" ht="14" customHeight="1">
      <c r="A13" s="9" t="inlineStr"/>
      <c r="B13" s="10" t="inlineStr">
        <is>
          <t>NTT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2" t="n">
        <v>14532</v>
      </c>
      <c r="Z13" s="13">
        <f>SUM(D13:Y13)</f>
        <v/>
      </c>
    </row>
    <row r="14" ht="14" customHeight="1">
      <c r="A14" s="37" t="inlineStr"/>
      <c r="B14" s="38" t="inlineStr">
        <is>
          <t>しょうしんへ</t>
        </is>
      </c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41">
        <f>SUM(D14:Y14)</f>
        <v/>
      </c>
    </row>
    <row r="15" ht="14" customHeight="1">
      <c r="A15" s="9" t="inlineStr">
        <is>
          <t>22日</t>
        </is>
      </c>
      <c r="B15" s="10" t="inlineStr">
        <is>
          <t>しんきんリース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2" t="n">
        <v>652052</v>
      </c>
      <c r="T15" s="11" t="n"/>
      <c r="U15" s="11" t="n"/>
      <c r="V15" s="11" t="n"/>
      <c r="W15" s="11" t="n"/>
      <c r="X15" s="11" t="n"/>
      <c r="Y15" s="11" t="n"/>
      <c r="Z15" s="13">
        <f>SUM(D15:Y15)</f>
        <v/>
      </c>
    </row>
    <row r="16" ht="14" customHeight="1">
      <c r="A16" s="37" t="inlineStr"/>
      <c r="B16" s="38" t="inlineStr">
        <is>
          <t>十六カード</t>
        </is>
      </c>
      <c r="C16" s="39" t="n"/>
      <c r="D16" s="39" t="n"/>
      <c r="E16" s="39" t="n"/>
      <c r="F16" s="39" t="n"/>
      <c r="G16" s="39" t="n"/>
      <c r="H16" s="39" t="n"/>
      <c r="I16" s="39" t="n"/>
      <c r="J16" s="40" t="n">
        <v>610992</v>
      </c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41">
        <f>SUM(D16:Y16)</f>
        <v/>
      </c>
    </row>
    <row r="17" ht="14" customHeight="1">
      <c r="A17" s="9" t="inlineStr"/>
      <c r="B17" s="10" t="inlineStr">
        <is>
          <t>十六リース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3">
        <f>SUM(D17:Y17)</f>
        <v/>
      </c>
    </row>
    <row r="18" ht="14" customHeight="1">
      <c r="A18" s="37" t="inlineStr">
        <is>
          <t>20日</t>
        </is>
      </c>
      <c r="B18" s="38" t="inlineStr">
        <is>
          <t>商工中金へ</t>
        </is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40" t="n">
        <v>850000</v>
      </c>
      <c r="R18" s="39" t="n"/>
      <c r="S18" s="39" t="n"/>
      <c r="T18" s="39" t="n"/>
      <c r="U18" s="39" t="n"/>
      <c r="V18" s="39" t="n"/>
      <c r="W18" s="39" t="n"/>
      <c r="X18" s="39" t="n"/>
      <c r="Y18" s="39" t="n"/>
      <c r="Z18" s="41">
        <f>SUM(D18:Y18)</f>
        <v/>
      </c>
    </row>
    <row r="19" ht="14" customHeight="1">
      <c r="A19" s="9" t="inlineStr"/>
      <c r="B19" s="10" t="inlineStr">
        <is>
          <t>証書借入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2" t="n">
        <v>530000</v>
      </c>
      <c r="W19" s="11" t="n"/>
      <c r="X19" s="11" t="n"/>
      <c r="Y19" s="11" t="n"/>
      <c r="Z19" s="13">
        <f>SUM(D19:Y19)</f>
        <v/>
      </c>
    </row>
    <row r="20" ht="14" customHeight="1">
      <c r="A20" s="37" t="inlineStr"/>
      <c r="B20" s="38" t="inlineStr">
        <is>
          <t>ウェルピア羽島</t>
        </is>
      </c>
      <c r="C20" s="39" t="n"/>
      <c r="D20" s="39" t="n"/>
      <c r="E20" s="39" t="n"/>
      <c r="F20" s="39" t="n"/>
      <c r="G20" s="39" t="n"/>
      <c r="H20" s="39" t="n"/>
      <c r="I20" s="39" t="n"/>
      <c r="J20" s="40" t="n">
        <v>1650000</v>
      </c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41">
        <f>SUM(D20:Y20)</f>
        <v/>
      </c>
    </row>
    <row r="21" ht="14" customHeight="1">
      <c r="A21" s="9" t="inlineStr"/>
      <c r="B21" s="10" t="inlineStr">
        <is>
          <t>ウェルピアへ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3">
        <f>SUM(D21:Y21)</f>
        <v/>
      </c>
    </row>
    <row r="22" ht="14" customHeight="1">
      <c r="A22" s="37" t="inlineStr"/>
      <c r="B22" s="38" t="inlineStr">
        <is>
          <t>AMUSEへ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41">
        <f>SUM(D22:Y22)</f>
        <v/>
      </c>
    </row>
    <row r="23" ht="14" customHeight="1">
      <c r="A23" s="9" t="inlineStr"/>
      <c r="B23" s="10" t="inlineStr">
        <is>
          <t>ブリックス社労士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2" t="n">
        <v>22952</v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3">
        <f>SUM(D23:Y23)</f>
        <v/>
      </c>
    </row>
    <row r="24" ht="14" customHeight="1">
      <c r="A24" s="37" t="inlineStr"/>
      <c r="B24" s="38" t="inlineStr">
        <is>
          <t>東邦液化ガス</t>
        </is>
      </c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41">
        <f>SUM(D24:Y24)</f>
        <v/>
      </c>
    </row>
    <row r="25" ht="14" customHeight="1">
      <c r="A25" s="9" t="inlineStr"/>
      <c r="B25" s="10" t="inlineStr">
        <is>
          <t>水道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3">
        <f>SUM(D25:Y25)</f>
        <v/>
      </c>
    </row>
    <row r="26" ht="14" customHeight="1">
      <c r="A26" s="37" t="inlineStr"/>
      <c r="B26" s="38" t="inlineStr">
        <is>
          <t>電気料</t>
        </is>
      </c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41">
        <f>SUM(D26:Y26)</f>
        <v/>
      </c>
    </row>
    <row r="27" ht="14" customHeight="1">
      <c r="A27" s="9" t="inlineStr"/>
      <c r="B27" s="10" t="inlineStr">
        <is>
          <t>源泉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2" t="n">
        <v>6650</v>
      </c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3">
        <f>SUM(D27:Y27)</f>
        <v/>
      </c>
    </row>
    <row r="28" ht="14" customHeight="1">
      <c r="A28" s="37" t="inlineStr"/>
      <c r="B28" s="38" t="inlineStr">
        <is>
          <t>住民税</t>
        </is>
      </c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40" t="n">
        <v>25800</v>
      </c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41">
        <f>SUM(D28:Y28)</f>
        <v/>
      </c>
    </row>
    <row r="29" ht="14" customHeight="1">
      <c r="A29" s="9" t="inlineStr"/>
      <c r="B29" s="10" t="inlineStr">
        <is>
          <t>労働保険料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3">
        <f>SUM(D29:Y29)</f>
        <v/>
      </c>
    </row>
    <row r="30" ht="14" customHeight="1">
      <c r="A30" s="37" t="inlineStr"/>
      <c r="B30" s="38" t="inlineStr">
        <is>
          <t>振込手数料</t>
        </is>
      </c>
      <c r="C30" s="39" t="n"/>
      <c r="D30" s="39" t="n"/>
      <c r="E30" s="39" t="n"/>
      <c r="F30" s="39" t="n"/>
      <c r="G30" s="39" t="n"/>
      <c r="H30" s="39" t="n"/>
      <c r="I30" s="39" t="n"/>
      <c r="J30" s="39" t="n"/>
      <c r="K30" s="40" t="n">
        <v>32285</v>
      </c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41">
        <f>SUM(D30:Y30)</f>
        <v/>
      </c>
    </row>
    <row r="31" ht="14" customHeight="1">
      <c r="A31" s="9" t="inlineStr"/>
      <c r="B31" s="10" t="inlineStr">
        <is>
          <t>小口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2" t="n">
        <v>500000</v>
      </c>
      <c r="R31" s="11" t="n"/>
      <c r="S31" s="11" t="n"/>
      <c r="T31" s="11" t="n"/>
      <c r="U31" s="11" t="n"/>
      <c r="V31" s="11" t="n"/>
      <c r="W31" s="11" t="n"/>
      <c r="X31" s="11" t="n"/>
      <c r="Y31" s="11" t="n"/>
      <c r="Z31" s="13">
        <f>SUM(D31:Y31)</f>
        <v/>
      </c>
    </row>
    <row r="32" ht="14" customHeight="1">
      <c r="A32" s="37" t="inlineStr"/>
      <c r="B32" s="38" t="inlineStr">
        <is>
          <t>給料</t>
        </is>
      </c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40" t="n">
        <v>1239784</v>
      </c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41">
        <f>SUM(D32:Y32)</f>
        <v/>
      </c>
    </row>
    <row r="33" ht="14" customHeight="1">
      <c r="A33" s="9" t="inlineStr"/>
      <c r="B33" s="10" t="inlineStr">
        <is>
          <t>ボディケア費用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3">
        <f>SUM(D33:Y33)</f>
        <v/>
      </c>
    </row>
    <row r="34" ht="14" customHeight="1">
      <c r="A34" s="37" t="inlineStr"/>
      <c r="B34" s="38" t="inlineStr">
        <is>
          <t>サイクル費用</t>
        </is>
      </c>
      <c r="C34" s="39" t="n"/>
      <c r="D34" s="39" t="n"/>
      <c r="E34" s="39" t="n"/>
      <c r="F34" s="39" t="n"/>
      <c r="G34" s="39" t="n"/>
      <c r="H34" s="39" t="n"/>
      <c r="I34" s="39" t="n"/>
      <c r="J34" s="40" t="n">
        <v>19249</v>
      </c>
      <c r="K34" s="39" t="n"/>
      <c r="L34" s="39" t="n"/>
      <c r="M34" s="39" t="n"/>
      <c r="N34" s="39" t="n"/>
      <c r="O34" s="39" t="n"/>
      <c r="P34" s="40" t="n">
        <v>47420</v>
      </c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41">
        <f>SUM(D34:Y34)</f>
        <v/>
      </c>
    </row>
    <row r="35" ht="14" customHeight="1">
      <c r="A35" s="9" t="inlineStr"/>
      <c r="B35" s="10" t="inlineStr">
        <is>
          <t>ボディケア30日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2" t="n">
        <v>351150</v>
      </c>
      <c r="X35" s="11" t="n"/>
      <c r="Y35" s="11" t="n"/>
      <c r="Z35" s="13">
        <f>SUM(D35:Y35)</f>
        <v/>
      </c>
    </row>
    <row r="36" ht="14" customHeight="1">
      <c r="A36" s="37" t="inlineStr"/>
      <c r="B36" s="38" t="inlineStr">
        <is>
          <t>サイクル月末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100592</v>
      </c>
      <c r="X36" s="39" t="n"/>
      <c r="Y36" s="39" t="n"/>
      <c r="Z36" s="41">
        <f>SUM(D36:Y36)</f>
        <v/>
      </c>
    </row>
    <row r="37" ht="14" customHeight="1">
      <c r="A37" s="9" t="inlineStr"/>
      <c r="B37" s="10" t="inlineStr">
        <is>
          <t>Eats月末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3">
        <f>SUM(D37:Y37)</f>
        <v/>
      </c>
    </row>
    <row r="38" ht="14" customHeight="1">
      <c r="A38" s="37" t="inlineStr">
        <is>
          <t>26日</t>
        </is>
      </c>
      <c r="B38" s="38" t="inlineStr">
        <is>
          <t>本社月末振込</t>
        </is>
      </c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40" t="n">
        <v>70350</v>
      </c>
      <c r="X38" s="39" t="n"/>
      <c r="Y38" s="39" t="n"/>
      <c r="Z38" s="41">
        <f>SUM(D38:Y38)</f>
        <v/>
      </c>
    </row>
    <row r="39" ht="14" customHeight="1">
      <c r="A39" s="9" t="inlineStr">
        <is>
          <t>26日</t>
        </is>
      </c>
      <c r="B39" s="10" t="inlineStr">
        <is>
          <t>GM地権者振＋他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2" t="n">
        <v>3216251</v>
      </c>
      <c r="X39" s="11" t="n"/>
      <c r="Y39" s="11" t="n"/>
      <c r="Z39" s="13">
        <f>SUM(D39:Y39)</f>
        <v/>
      </c>
    </row>
    <row r="40" ht="14" customHeight="1">
      <c r="A40" s="37" t="inlineStr"/>
      <c r="B40" s="38" t="inlineStr">
        <is>
          <t>長野農研</t>
        </is>
      </c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40" t="n">
        <v>143000</v>
      </c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41">
        <f>SUM(D40:Y40)</f>
        <v/>
      </c>
    </row>
    <row r="41" ht="14" customHeight="1">
      <c r="A41" s="9" t="inlineStr"/>
      <c r="B41" s="10" t="inlineStr">
        <is>
          <t>日浦新聞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2" t="n">
        <v>6750</v>
      </c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3">
        <f>SUM(D41:Y41)</f>
        <v/>
      </c>
    </row>
    <row r="42" ht="14" customHeight="1">
      <c r="A42" s="37" t="inlineStr"/>
      <c r="B42" s="38" t="inlineStr">
        <is>
          <t>位田会計</t>
        </is>
      </c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40" t="n">
        <v>36300</v>
      </c>
      <c r="U42" s="39" t="n"/>
      <c r="V42" s="39" t="n"/>
      <c r="W42" s="39" t="n"/>
      <c r="X42" s="39" t="n"/>
      <c r="Y42" s="39" t="n"/>
      <c r="Z42" s="41">
        <f>SUM(D42:Y42)</f>
        <v/>
      </c>
    </row>
    <row r="43" ht="14" customHeight="1">
      <c r="A43" s="9" t="inlineStr"/>
      <c r="B43" s="10" t="inlineStr">
        <is>
          <t>F&amp;M 27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2" t="n">
        <v>49500</v>
      </c>
      <c r="X43" s="11" t="n"/>
      <c r="Y43" s="11" t="n"/>
      <c r="Z43" s="13">
        <f>SUM(D43:Y43)</f>
        <v/>
      </c>
    </row>
    <row r="44" ht="14" customHeight="1">
      <c r="A44" s="37" t="inlineStr">
        <is>
          <t>26日</t>
        </is>
      </c>
      <c r="B44" s="38" t="inlineStr">
        <is>
          <t>佐川</t>
        </is>
      </c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40" t="n">
        <v>3234</v>
      </c>
      <c r="X44" s="39" t="n"/>
      <c r="Y44" s="39" t="n"/>
      <c r="Z44" s="41">
        <f>SUM(D44:Y44)</f>
        <v/>
      </c>
    </row>
    <row r="45" ht="14" customHeight="1">
      <c r="A45" s="9" t="inlineStr">
        <is>
          <t>26日</t>
        </is>
      </c>
      <c r="B45" s="10" t="inlineStr">
        <is>
          <t>ヤマト26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2" t="n">
        <v>1320</v>
      </c>
      <c r="X45" s="11" t="n"/>
      <c r="Y45" s="11" t="n"/>
      <c r="Z45" s="13">
        <f>SUM(D45:Y45)</f>
        <v/>
      </c>
    </row>
    <row r="46" ht="14" customHeight="1">
      <c r="A46" s="37" t="inlineStr"/>
      <c r="B46" s="38" t="inlineStr">
        <is>
          <t>アルファスタッフ</t>
        </is>
      </c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41">
        <f>SUM(D46:Y46)</f>
        <v/>
      </c>
    </row>
    <row r="47" ht="14" customHeight="1">
      <c r="A47" s="9" t="inlineStr"/>
      <c r="B47" s="10" t="inlineStr">
        <is>
          <t>S・B26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2" t="n">
        <v>63203</v>
      </c>
      <c r="X47" s="11" t="n"/>
      <c r="Y47" s="11" t="n"/>
      <c r="Z47" s="13">
        <f>SUM(D47:Y47)</f>
        <v/>
      </c>
    </row>
    <row r="48" ht="14" customHeight="1">
      <c r="A48" s="37" t="inlineStr">
        <is>
          <t>26日</t>
        </is>
      </c>
      <c r="B48" s="38" t="inlineStr">
        <is>
          <t>車保険料</t>
        </is>
      </c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40" t="n">
        <v>80670</v>
      </c>
      <c r="W48" s="39" t="n"/>
      <c r="X48" s="39" t="n"/>
      <c r="Y48" s="39" t="n"/>
      <c r="Z48" s="41">
        <f>SUM(D48:Y48)</f>
        <v/>
      </c>
    </row>
    <row r="49" ht="14" customHeight="1">
      <c r="A49" s="9" t="inlineStr"/>
      <c r="B49" s="10" t="inlineStr">
        <is>
          <t>火災保険</t>
        </is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2" t="n">
        <v>50380</v>
      </c>
      <c r="W49" s="11" t="n"/>
      <c r="X49" s="11" t="n"/>
      <c r="Y49" s="11" t="n"/>
      <c r="Z49" s="13">
        <f>SUM(D49:Y49)</f>
        <v/>
      </c>
    </row>
    <row r="50" ht="14" customHeight="1">
      <c r="A50" s="37" t="inlineStr">
        <is>
          <t>27日</t>
        </is>
      </c>
      <c r="B50" s="38" t="inlineStr">
        <is>
          <t>日本生命（自）</t>
        </is>
      </c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40" t="n">
        <v>38000</v>
      </c>
      <c r="W50" s="39" t="n"/>
      <c r="X50" s="39" t="n"/>
      <c r="Y50" s="39" t="n"/>
      <c r="Z50" s="41">
        <f>SUM(D50:Y50)</f>
        <v/>
      </c>
    </row>
    <row r="51" ht="14" customHeight="1">
      <c r="A51" s="9" t="inlineStr">
        <is>
          <t>4/26</t>
        </is>
      </c>
      <c r="B51" s="10" t="inlineStr">
        <is>
          <t>ギフシンBC（自）</t>
        </is>
      </c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2" t="n">
        <v>5400</v>
      </c>
      <c r="W51" s="11" t="n"/>
      <c r="X51" s="11" t="n"/>
      <c r="Y51" s="11" t="n"/>
      <c r="Z51" s="13">
        <f>SUM(D51:Y51)</f>
        <v/>
      </c>
    </row>
    <row r="52" ht="14" customHeight="1">
      <c r="A52" s="37" t="inlineStr">
        <is>
          <t>4/26</t>
        </is>
      </c>
      <c r="B52" s="38" t="inlineStr">
        <is>
          <t>リコー</t>
        </is>
      </c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40" t="n">
        <v>6600</v>
      </c>
      <c r="W52" s="39" t="n"/>
      <c r="X52" s="39" t="n"/>
      <c r="Y52" s="39" t="n"/>
      <c r="Z52" s="41">
        <f>SUM(D52:Y52)</f>
        <v/>
      </c>
    </row>
    <row r="53" ht="14" customHeight="1">
      <c r="A53" s="9" t="inlineStr">
        <is>
          <t>4/26</t>
        </is>
      </c>
      <c r="B53" s="10" t="inlineStr">
        <is>
          <t>ライフカード（自）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2" t="n">
        <v>3625</v>
      </c>
      <c r="W53" s="11" t="n"/>
      <c r="X53" s="11" t="n"/>
      <c r="Y53" s="11" t="n"/>
      <c r="Z53" s="13">
        <f>SUM(D53:Y53)</f>
        <v/>
      </c>
    </row>
    <row r="54" ht="14" customHeight="1">
      <c r="A54" s="37" t="inlineStr"/>
      <c r="B54" s="38" t="inlineStr">
        <is>
          <t>地代（自）</t>
        </is>
      </c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40" t="n">
        <v>1980000</v>
      </c>
      <c r="Z54" s="41">
        <f>SUM(D54:Y54)</f>
        <v/>
      </c>
    </row>
    <row r="55" ht="14" customHeight="1">
      <c r="A55" s="9" t="inlineStr"/>
      <c r="B55" s="10" t="inlineStr">
        <is>
          <t>固定資産税</t>
        </is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2" t="n">
        <v>840000</v>
      </c>
      <c r="Z55" s="13">
        <f>SUM(D55:Y55)</f>
        <v/>
      </c>
    </row>
    <row r="56" ht="14" customHeight="1">
      <c r="A56" s="37" t="inlineStr"/>
      <c r="B56" s="38" t="inlineStr">
        <is>
          <t>社会保険料（自）</t>
        </is>
      </c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40" t="n">
        <v>512766</v>
      </c>
      <c r="Z56" s="41">
        <f>SUM(D56:Y56)</f>
        <v/>
      </c>
    </row>
    <row r="57" ht="14" customHeight="1">
      <c r="A57" s="9" t="inlineStr"/>
      <c r="B57" s="10" t="inlineStr">
        <is>
          <t>電気・ガス代</t>
        </is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2" t="n">
        <v>44608</v>
      </c>
      <c r="X57" s="11" t="n"/>
      <c r="Y57" s="11" t="n"/>
      <c r="Z57" s="13">
        <f>SUM(D57:Y57)</f>
        <v/>
      </c>
    </row>
    <row r="58" ht="14" customHeight="1">
      <c r="A58" s="37" t="inlineStr"/>
      <c r="B58" s="38" t="inlineStr">
        <is>
          <t>納税</t>
        </is>
      </c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40" t="n">
        <v>1505508</v>
      </c>
      <c r="Z58" s="41">
        <f>SUM(D58:Y58)</f>
        <v/>
      </c>
    </row>
    <row r="59" ht="14" customHeight="1">
      <c r="A59" s="9" t="inlineStr"/>
      <c r="B59" s="10" t="inlineStr">
        <is>
          <t>その他①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3">
        <f>SUM(D59:Y59)</f>
        <v/>
      </c>
    </row>
    <row r="60" ht="14" customHeight="1">
      <c r="A60" s="37" t="inlineStr"/>
      <c r="B60" s="38" t="inlineStr">
        <is>
          <t>その他②</t>
        </is>
      </c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41">
        <f>SUM(D60:Y60)</f>
        <v/>
      </c>
    </row>
    <row r="61" ht="16" customHeight="1">
      <c r="A61" s="19" t="inlineStr">
        <is>
          <t>支　払　合　計</t>
        </is>
      </c>
      <c r="B61" s="11" t="n"/>
      <c r="C61" s="11" t="n"/>
      <c r="D61" s="20">
        <f>SUM(D5:D60)</f>
        <v/>
      </c>
      <c r="E61" s="20">
        <f>SUM(E5:E60)</f>
        <v/>
      </c>
      <c r="F61" s="20">
        <f>SUM(F5:F60)</f>
        <v/>
      </c>
      <c r="G61" s="20">
        <f>SUM(G5:G60)</f>
        <v/>
      </c>
      <c r="H61" s="20">
        <f>SUM(H5:H60)</f>
        <v/>
      </c>
      <c r="I61" s="20">
        <f>SUM(I5:I60)</f>
        <v/>
      </c>
      <c r="J61" s="20">
        <f>SUM(J5:J60)</f>
        <v/>
      </c>
      <c r="K61" s="20">
        <f>SUM(K5:K60)</f>
        <v/>
      </c>
      <c r="L61" s="20">
        <f>SUM(L5:L60)</f>
        <v/>
      </c>
      <c r="M61" s="20">
        <f>SUM(M5:M60)</f>
        <v/>
      </c>
      <c r="N61" s="20">
        <f>SUM(N5:N60)</f>
        <v/>
      </c>
      <c r="O61" s="20">
        <f>SUM(O5:O60)</f>
        <v/>
      </c>
      <c r="P61" s="20">
        <f>SUM(P5:P60)</f>
        <v/>
      </c>
      <c r="Q61" s="20">
        <f>SUM(Q5:Q60)</f>
        <v/>
      </c>
      <c r="R61" s="20">
        <f>SUM(R5:R60)</f>
        <v/>
      </c>
      <c r="S61" s="20">
        <f>SUM(S5:S60)</f>
        <v/>
      </c>
      <c r="T61" s="20">
        <f>SUM(T5:T60)</f>
        <v/>
      </c>
      <c r="U61" s="20">
        <f>SUM(U5:U60)</f>
        <v/>
      </c>
      <c r="V61" s="20">
        <f>SUM(V5:V60)</f>
        <v/>
      </c>
      <c r="W61" s="20">
        <f>SUM(W5:W60)</f>
        <v/>
      </c>
      <c r="X61" s="20">
        <f>SUM(X5:X60)</f>
        <v/>
      </c>
      <c r="Y61" s="20">
        <f>SUM(Y5:Y60)</f>
        <v/>
      </c>
      <c r="Z61" s="21">
        <f>SUM(D61:Y61)</f>
        <v/>
      </c>
    </row>
    <row r="62" ht="15" customHeight="1">
      <c r="A62" s="22" t="inlineStr">
        <is>
          <t>【 収　入 】</t>
        </is>
      </c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23" t="n"/>
    </row>
    <row r="63" ht="14" customHeight="1">
      <c r="A63" s="24" t="n"/>
      <c r="B63" s="11" t="n"/>
      <c r="C63" s="11" t="n"/>
      <c r="D63" s="27" t="n"/>
      <c r="E63" s="25" t="n">
        <v>56720</v>
      </c>
      <c r="F63" s="27" t="n"/>
      <c r="G63" s="27" t="n"/>
      <c r="H63" s="27" t="n"/>
      <c r="I63" s="27" t="n"/>
      <c r="J63" s="25" t="n">
        <v>49647</v>
      </c>
      <c r="K63" s="25" t="n">
        <v>40000</v>
      </c>
      <c r="L63" s="25" t="n">
        <v>43720</v>
      </c>
      <c r="M63" s="27" t="n"/>
      <c r="N63" s="27" t="n"/>
      <c r="O63" s="25" t="n">
        <v>93499</v>
      </c>
      <c r="P63" s="27" t="n"/>
      <c r="Q63" s="27" t="n"/>
      <c r="R63" s="27" t="n"/>
      <c r="S63" s="27" t="n"/>
      <c r="T63" s="25" t="n">
        <v>67309</v>
      </c>
      <c r="U63" s="25" t="n">
        <v>261944</v>
      </c>
      <c r="V63" s="27" t="n"/>
      <c r="W63" s="27" t="n"/>
      <c r="X63" s="27" t="n"/>
      <c r="Y63" s="27" t="n"/>
      <c r="Z63" s="26">
        <f>SUM(D63:Y63)</f>
        <v/>
      </c>
    </row>
    <row r="64" ht="14" customHeight="1">
      <c r="A64" s="24" t="n"/>
      <c r="B64" s="11" t="n"/>
      <c r="C64" s="11" t="n"/>
      <c r="D64" s="27" t="n"/>
      <c r="E64" s="27" t="n"/>
      <c r="F64" s="25" t="n">
        <v>136626</v>
      </c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5" t="n">
        <v>220000</v>
      </c>
      <c r="W64" s="25" t="n">
        <v>301344</v>
      </c>
      <c r="X64" s="27" t="n"/>
      <c r="Y64" s="27" t="n"/>
      <c r="Z64" s="26">
        <f>SUM(D64:Y64)</f>
        <v/>
      </c>
    </row>
    <row r="65" ht="14" customHeight="1">
      <c r="A65" s="24" t="n"/>
      <c r="B65" s="11" t="n"/>
      <c r="C65" s="11" t="n"/>
      <c r="D65" s="27" t="n"/>
      <c r="E65" s="27" t="n"/>
      <c r="F65" s="27" t="n"/>
      <c r="G65" s="27" t="n"/>
      <c r="H65" s="27" t="n"/>
      <c r="I65" s="27" t="n"/>
      <c r="J65" s="27" t="n"/>
      <c r="K65" s="25" t="n">
        <v>440000</v>
      </c>
      <c r="L65" s="27" t="n"/>
      <c r="M65" s="25" t="n">
        <v>3000000</v>
      </c>
      <c r="N65" s="27" t="n"/>
      <c r="O65" s="27" t="n"/>
      <c r="P65" s="27" t="n"/>
      <c r="Q65" s="27" t="n"/>
      <c r="R65" s="27" t="n"/>
      <c r="S65" s="27" t="n"/>
      <c r="T65" s="27" t="n"/>
      <c r="U65" s="25" t="n">
        <v>97610</v>
      </c>
      <c r="V65" s="25" t="n">
        <v>327076</v>
      </c>
      <c r="W65" s="25" t="n">
        <v>3500000</v>
      </c>
      <c r="X65" s="27" t="n"/>
      <c r="Y65" s="25" t="n">
        <v>5000000</v>
      </c>
      <c r="Z65" s="26">
        <f>SUM(D65:Y65)</f>
        <v/>
      </c>
    </row>
    <row r="66" ht="14" customHeight="1">
      <c r="A66" s="24" t="n"/>
      <c r="B66" s="11" t="n"/>
      <c r="C66" s="11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6">
        <f>SUM(D66:Y66)</f>
        <v/>
      </c>
    </row>
    <row r="67" ht="14" customHeight="1">
      <c r="A67" s="24" t="n"/>
      <c r="B67" s="11" t="n"/>
      <c r="C67" s="11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6">
        <f>SUM(D67:Y67)</f>
        <v/>
      </c>
    </row>
    <row r="68" ht="16" customHeight="1">
      <c r="A68" s="28" t="inlineStr">
        <is>
          <t>収　入　合　計</t>
        </is>
      </c>
      <c r="B68" s="11" t="n"/>
      <c r="C68" s="11" t="n"/>
      <c r="D68" s="29">
        <f>SUM(D63:D67)</f>
        <v/>
      </c>
      <c r="E68" s="29">
        <f>SUM(E63:E67)</f>
        <v/>
      </c>
      <c r="F68" s="29">
        <f>SUM(F63:F67)</f>
        <v/>
      </c>
      <c r="G68" s="29">
        <f>SUM(G63:G67)</f>
        <v/>
      </c>
      <c r="H68" s="29">
        <f>SUM(H63:H67)</f>
        <v/>
      </c>
      <c r="I68" s="29">
        <f>SUM(I63:I67)</f>
        <v/>
      </c>
      <c r="J68" s="29">
        <f>SUM(J63:J67)</f>
        <v/>
      </c>
      <c r="K68" s="29">
        <f>SUM(K63:K67)</f>
        <v/>
      </c>
      <c r="L68" s="29">
        <f>SUM(L63:L67)</f>
        <v/>
      </c>
      <c r="M68" s="29">
        <f>SUM(M63:M67)</f>
        <v/>
      </c>
      <c r="N68" s="29">
        <f>SUM(N63:N67)</f>
        <v/>
      </c>
      <c r="O68" s="29">
        <f>SUM(O63:O67)</f>
        <v/>
      </c>
      <c r="P68" s="29">
        <f>SUM(P63:P67)</f>
        <v/>
      </c>
      <c r="Q68" s="29">
        <f>SUM(Q63:Q67)</f>
        <v/>
      </c>
      <c r="R68" s="29">
        <f>SUM(R63:R67)</f>
        <v/>
      </c>
      <c r="S68" s="29">
        <f>SUM(S63:S67)</f>
        <v/>
      </c>
      <c r="T68" s="29">
        <f>SUM(T63:T67)</f>
        <v/>
      </c>
      <c r="U68" s="29">
        <f>SUM(U63:U67)</f>
        <v/>
      </c>
      <c r="V68" s="29">
        <f>SUM(V63:V67)</f>
        <v/>
      </c>
      <c r="W68" s="29">
        <f>SUM(W63:W67)</f>
        <v/>
      </c>
      <c r="X68" s="29">
        <f>SUM(X63:X67)</f>
        <v/>
      </c>
      <c r="Y68" s="29">
        <f>SUM(Y63:Y67)</f>
        <v/>
      </c>
      <c r="Z68" s="30">
        <f>SUM(D68:Y68)</f>
        <v/>
      </c>
    </row>
    <row r="69" ht="20" customHeight="1">
      <c r="A69" s="31" t="inlineStr">
        <is>
          <t>残　　　高</t>
        </is>
      </c>
      <c r="B69" s="32" t="n"/>
      <c r="C69" s="32" t="n"/>
      <c r="D69" s="33">
        <f>B2+D68-D61</f>
        <v/>
      </c>
      <c r="E69" s="33">
        <f>D69+E68-E61</f>
        <v/>
      </c>
      <c r="F69" s="33">
        <f>E69+F68-F61</f>
        <v/>
      </c>
      <c r="G69" s="33">
        <f>F69+G68-G61</f>
        <v/>
      </c>
      <c r="H69" s="33">
        <f>G69+H68-H61</f>
        <v/>
      </c>
      <c r="I69" s="33">
        <f>H69+I68-I61</f>
        <v/>
      </c>
      <c r="J69" s="33">
        <f>I69+J68-J61</f>
        <v/>
      </c>
      <c r="K69" s="33">
        <f>J69+K68-K61</f>
        <v/>
      </c>
      <c r="L69" s="33">
        <f>K69+L68-L61</f>
        <v/>
      </c>
      <c r="M69" s="33">
        <f>L69+M68-M61</f>
        <v/>
      </c>
      <c r="N69" s="33">
        <f>M69+N68-N61</f>
        <v/>
      </c>
      <c r="O69" s="33">
        <f>N69+O68-O61</f>
        <v/>
      </c>
      <c r="P69" s="33">
        <f>O69+P68-P61</f>
        <v/>
      </c>
      <c r="Q69" s="33">
        <f>P69+Q68-Q61</f>
        <v/>
      </c>
      <c r="R69" s="33">
        <f>Q69+R68-R61</f>
        <v/>
      </c>
      <c r="S69" s="33">
        <f>R69+S68-S61</f>
        <v/>
      </c>
      <c r="T69" s="33">
        <f>S69+T68-T61</f>
        <v/>
      </c>
      <c r="U69" s="33">
        <f>T69+U68-U61</f>
        <v/>
      </c>
      <c r="V69" s="33">
        <f>U69+V68-V61</f>
        <v/>
      </c>
      <c r="W69" s="33">
        <f>V69+W68-W61</f>
        <v/>
      </c>
      <c r="X69" s="33">
        <f>W69+X68-X61</f>
        <v/>
      </c>
      <c r="Y69" s="33">
        <f>X69+Y68-Y61</f>
        <v/>
      </c>
      <c r="Z69" s="34">
        <f>Y69</f>
        <v/>
      </c>
    </row>
  </sheetData>
  <mergeCells count="13">
    <mergeCell ref="A68:C68"/>
    <mergeCell ref="A63:C63"/>
    <mergeCell ref="E2:Z2"/>
    <mergeCell ref="A66:C66"/>
    <mergeCell ref="A1:Z1"/>
    <mergeCell ref="A61:C61"/>
    <mergeCell ref="A4:Z4"/>
    <mergeCell ref="A62:Z62"/>
    <mergeCell ref="A67:C67"/>
    <mergeCell ref="A69:C69"/>
    <mergeCell ref="A65:C65"/>
    <mergeCell ref="A2:C2"/>
    <mergeCell ref="A64:C6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2026-04-20T01:13:55Z</dcterms:created>
  <dcterms:modified xmlns:dcterms="http://purl.org/dc/terms/" xmlns:xsi="http://www.w3.org/2001/XMLSchema-instance" xsi:type="dcterms:W3CDTF">2026-04-20T01:13:55Z</dcterms:modified>
</cp:coreProperties>
</file>