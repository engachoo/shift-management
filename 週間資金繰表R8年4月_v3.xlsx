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祝日" sheetId="2" state="hidden" r:id="rId2"/>
    <sheet xmlns:r="http://schemas.openxmlformats.org/officeDocument/2006/relationships" name="AMUSE" sheetId="3" state="visible" r:id="rId3"/>
    <sheet xmlns:r="http://schemas.openxmlformats.org/officeDocument/2006/relationships" name="大日産業" sheetId="4" state="visible" r:id="rId4"/>
  </sheets>
  <definedNames>
    <definedName name="_xlnm.Print_Titles" localSheetId="2">'AMUSE'!$1:$4</definedName>
    <definedName name="_xlnm.Print_Titles" localSheetId="3">'大日産業'!$1:$4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#,##0;(#,##0);&quot;-&quot;"/>
  </numFmts>
  <fonts count="1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b val="1"/>
      <color rgb="000000FF"/>
      <sz val="11"/>
    </font>
    <font>
      <name val="Arial"/>
      <i val="1"/>
      <color rgb="00666666"/>
      <sz val="9"/>
    </font>
    <font>
      <name val="Arial"/>
      <i val="1"/>
      <color rgb="00CC0000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b val="1"/>
      <color rgb="00003366"/>
      <sz val="10"/>
    </font>
    <font>
      <name val="Arial"/>
      <b val="1"/>
      <color rgb="00003366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0F5FF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9DC3E6"/>
      </patternFill>
    </fill>
    <fill>
      <patternFill patternType="solid">
        <fgColor rgb="00375623"/>
      </patternFill>
    </fill>
    <fill>
      <patternFill patternType="solid">
        <fgColor rgb="00F0FFF0"/>
      </patternFill>
    </fill>
  </fills>
  <borders count="12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medium">
        <color rgb="00444444"/>
      </left>
      <right style="thin">
        <color rgb="00CCCCCC"/>
      </right>
      <top style="medium">
        <color rgb="00444444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444444"/>
      </top>
      <bottom style="thin">
        <color rgb="00CCCCCC"/>
      </bottom>
    </border>
    <border>
      <left style="thin">
        <color rgb="00CCCCCC"/>
      </left>
      <right style="medium">
        <color rgb="00444444"/>
      </right>
      <top style="medium">
        <color rgb="00444444"/>
      </top>
      <bottom style="thin">
        <color rgb="00CCCCCC"/>
      </bottom>
    </border>
    <border>
      <left style="medium">
        <color rgb="0044444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444444"/>
      </right>
      <top style="thin">
        <color rgb="00CCCCCC"/>
      </top>
      <bottom style="thin">
        <color rgb="00CCCCCC"/>
      </bottom>
    </border>
    <border>
      <left style="medium">
        <color rgb="00444444"/>
      </left>
      <right style="thin">
        <color rgb="00CCCCCC"/>
      </right>
      <top style="thin">
        <color rgb="00CCCCCC"/>
      </top>
      <bottom style="medium">
        <color rgb="0044444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444444"/>
      </bottom>
    </border>
    <border>
      <left style="thin">
        <color rgb="00CCCCCC"/>
      </left>
      <right style="medium">
        <color rgb="00444444"/>
      </right>
      <top style="thin">
        <color rgb="00CCCCCC"/>
      </top>
      <bottom style="medium">
        <color rgb="0044444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0" borderId="0" pivotButton="0" quotePrefix="0" xfId="0"/>
    <xf numFmtId="165" fontId="2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3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5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2" fillId="5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0" fillId="0" borderId="7" pivotButton="0" quotePrefix="0" xfId="0"/>
    <xf numFmtId="166" fontId="13" fillId="0" borderId="7" applyAlignment="1" pivotButton="0" quotePrefix="0" xfId="0">
      <alignment horizontal="right" vertical="center"/>
    </xf>
    <xf numFmtId="166" fontId="9" fillId="0" borderId="8" applyAlignment="1" pivotButton="0" quotePrefix="0" xfId="0">
      <alignment horizontal="right" vertical="center"/>
    </xf>
    <xf numFmtId="0" fontId="2" fillId="6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left" vertical="center"/>
    </xf>
    <xf numFmtId="0" fontId="0" fillId="6" borderId="7" pivotButton="0" quotePrefix="0" xfId="0"/>
    <xf numFmtId="166" fontId="13" fillId="6" borderId="7" applyAlignment="1" pivotButton="0" quotePrefix="0" xfId="0">
      <alignment horizontal="right" vertical="center"/>
    </xf>
    <xf numFmtId="166" fontId="9" fillId="6" borderId="8" applyAlignment="1" pivotButton="0" quotePrefix="0" xfId="0">
      <alignment horizontal="right" vertical="center"/>
    </xf>
    <xf numFmtId="0" fontId="9" fillId="4" borderId="6" applyAlignment="1" pivotButton="0" quotePrefix="0" xfId="0">
      <alignment horizontal="center" vertical="center"/>
    </xf>
    <xf numFmtId="166" fontId="9" fillId="4" borderId="7" applyAlignment="1" pivotButton="0" quotePrefix="0" xfId="0">
      <alignment horizontal="right" vertical="center"/>
    </xf>
    <xf numFmtId="166" fontId="9" fillId="4" borderId="8" applyAlignment="1" pivotButton="0" quotePrefix="0" xfId="0">
      <alignment horizontal="right" vertical="center"/>
    </xf>
    <xf numFmtId="0" fontId="12" fillId="7" borderId="6" applyAlignment="1" pivotButton="0" quotePrefix="0" xfId="0">
      <alignment horizontal="left" vertical="center"/>
    </xf>
    <xf numFmtId="0" fontId="0" fillId="0" borderId="8" pivotButton="0" quotePrefix="0" xfId="0"/>
    <xf numFmtId="0" fontId="9" fillId="8" borderId="6" applyAlignment="1" pivotButton="0" quotePrefix="0" xfId="0">
      <alignment horizontal="left" vertical="center"/>
    </xf>
    <xf numFmtId="166" fontId="14" fillId="8" borderId="7" applyAlignment="1" pivotButton="0" quotePrefix="0" xfId="0">
      <alignment horizontal="right" vertical="center"/>
    </xf>
    <xf numFmtId="0" fontId="0" fillId="8" borderId="7" pivotButton="0" quotePrefix="0" xfId="0"/>
    <xf numFmtId="166" fontId="9" fillId="8" borderId="8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166" fontId="9" fillId="9" borderId="7" applyAlignment="1" pivotButton="0" quotePrefix="0" xfId="0">
      <alignment horizontal="right" vertical="center"/>
    </xf>
    <xf numFmtId="166" fontId="9" fillId="9" borderId="8" applyAlignment="1" pivotButton="0" quotePrefix="0" xfId="0">
      <alignment horizontal="right" vertical="center"/>
    </xf>
    <xf numFmtId="0" fontId="15" fillId="10" borderId="9" applyAlignment="1" pivotButton="0" quotePrefix="0" xfId="0">
      <alignment horizontal="center" vertical="center"/>
    </xf>
    <xf numFmtId="0" fontId="0" fillId="0" borderId="10" pivotButton="0" quotePrefix="0" xfId="0"/>
    <xf numFmtId="166" fontId="16" fillId="10" borderId="10" applyAlignment="1" pivotButton="0" quotePrefix="0" xfId="0">
      <alignment horizontal="right" vertical="center"/>
    </xf>
    <xf numFmtId="166" fontId="17" fillId="11" borderId="11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3" borderId="7" applyAlignment="1" pivotButton="0" quotePrefix="0" xfId="0">
      <alignment horizontal="left" vertical="center"/>
    </xf>
    <xf numFmtId="0" fontId="0" fillId="13" borderId="7" pivotButton="0" quotePrefix="0" xfId="0"/>
    <xf numFmtId="166" fontId="13" fillId="13" borderId="7" applyAlignment="1" pivotButton="0" quotePrefix="0" xfId="0">
      <alignment horizontal="right" vertical="center"/>
    </xf>
    <xf numFmtId="166" fontId="9" fillId="13" borderId="8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Arial"/>
        <b val="1"/>
        <color rgb="00FF0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 ht="28" customHeight="1">
      <c r="A1" s="1" t="inlineStr">
        <is>
          <t>週間資金繰表　設定</t>
        </is>
      </c>
    </row>
    <row r="3">
      <c r="A3" s="2" t="inlineStr">
        <is>
          <t>■ 対象年月</t>
        </is>
      </c>
    </row>
    <row r="4" ht="22" customHeight="1">
      <c r="A4" s="3" t="inlineStr">
        <is>
          <t>西　暦（年）</t>
        </is>
      </c>
      <c r="B4" s="4" t="n">
        <v>2026</v>
      </c>
      <c r="C4" s="5" t="inlineStr">
        <is>
          <t>← 4桁で入力</t>
        </is>
      </c>
    </row>
    <row r="5" ht="22" customHeight="1">
      <c r="A5" s="3" t="inlineStr">
        <is>
          <t>月</t>
        </is>
      </c>
      <c r="B5" s="4" t="n">
        <v>4</v>
      </c>
      <c r="C5" s="5" t="inlineStr">
        <is>
          <t>← 1〜12で入力</t>
        </is>
      </c>
    </row>
    <row r="7">
      <c r="A7" s="2" t="inlineStr">
        <is>
          <t>■ 前月末残高</t>
        </is>
      </c>
    </row>
    <row r="8" ht="22" customHeight="1">
      <c r="A8" s="3" t="inlineStr">
        <is>
          <t>AMUSE 前月末残</t>
        </is>
      </c>
      <c r="B8" s="4" t="n">
        <v>2186099</v>
      </c>
      <c r="C8" s="5" t="inlineStr">
        <is>
          <t>← 金額を入力（円）</t>
        </is>
      </c>
    </row>
    <row r="9" ht="22" customHeight="1">
      <c r="A9" s="3" t="inlineStr">
        <is>
          <t>大日産業 前月末残</t>
        </is>
      </c>
      <c r="B9" s="4" t="n">
        <v>5083029</v>
      </c>
      <c r="C9" s="5" t="inlineStr">
        <is>
          <t>← 金額を入力（円）</t>
        </is>
      </c>
    </row>
    <row r="11">
      <c r="A11" s="6" t="inlineStr">
        <is>
          <t>※ 年・月・前月末残を変更すると、資金繰表の日付・残高が自動で更新されます。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7" t="inlineStr">
        <is>
          <t>祝日一覧（2025-2027）</t>
        </is>
      </c>
    </row>
    <row r="2">
      <c r="A2" s="8" t="n">
        <v>45658</v>
      </c>
    </row>
    <row r="3">
      <c r="A3" s="8" t="n">
        <v>45670</v>
      </c>
    </row>
    <row r="4">
      <c r="A4" s="8" t="n">
        <v>45699</v>
      </c>
    </row>
    <row r="5">
      <c r="A5" s="8" t="n">
        <v>45711</v>
      </c>
    </row>
    <row r="6">
      <c r="A6" s="8" t="n">
        <v>45712</v>
      </c>
    </row>
    <row r="7">
      <c r="A7" s="8" t="n">
        <v>45736</v>
      </c>
    </row>
    <row r="8">
      <c r="A8" s="8" t="n">
        <v>45776</v>
      </c>
    </row>
    <row r="9">
      <c r="A9" s="8" t="n">
        <v>45780</v>
      </c>
    </row>
    <row r="10">
      <c r="A10" s="8" t="n">
        <v>45781</v>
      </c>
    </row>
    <row r="11">
      <c r="A11" s="8" t="n">
        <v>45782</v>
      </c>
    </row>
    <row r="12">
      <c r="A12" s="8" t="n">
        <v>45783</v>
      </c>
    </row>
    <row r="13">
      <c r="A13" s="8" t="n">
        <v>45859</v>
      </c>
    </row>
    <row r="14">
      <c r="A14" s="8" t="n">
        <v>45880</v>
      </c>
    </row>
    <row r="15">
      <c r="A15" s="8" t="n">
        <v>45915</v>
      </c>
    </row>
    <row r="16">
      <c r="A16" s="8" t="n">
        <v>45923</v>
      </c>
    </row>
    <row r="17">
      <c r="A17" s="8" t="n">
        <v>45943</v>
      </c>
    </row>
    <row r="18">
      <c r="A18" s="8" t="n">
        <v>45964</v>
      </c>
    </row>
    <row r="19">
      <c r="A19" s="8" t="n">
        <v>45984</v>
      </c>
    </row>
    <row r="20">
      <c r="A20" s="8" t="n">
        <v>45985</v>
      </c>
    </row>
    <row r="21">
      <c r="A21" s="8" t="n">
        <v>46023</v>
      </c>
    </row>
    <row r="22">
      <c r="A22" s="8" t="n">
        <v>46034</v>
      </c>
    </row>
    <row r="23">
      <c r="A23" s="8" t="n">
        <v>46064</v>
      </c>
    </row>
    <row r="24">
      <c r="A24" s="8" t="n">
        <v>46076</v>
      </c>
    </row>
    <row r="25">
      <c r="A25" s="8" t="n">
        <v>46101</v>
      </c>
    </row>
    <row r="26">
      <c r="A26" s="8" t="n">
        <v>46141</v>
      </c>
    </row>
    <row r="27">
      <c r="A27" s="8" t="n">
        <v>46145</v>
      </c>
    </row>
    <row r="28">
      <c r="A28" s="8" t="n">
        <v>46146</v>
      </c>
    </row>
    <row r="29">
      <c r="A29" s="8" t="n">
        <v>46147</v>
      </c>
    </row>
    <row r="30">
      <c r="A30" s="8" t="n">
        <v>46148</v>
      </c>
    </row>
    <row r="31">
      <c r="A31" s="8" t="n">
        <v>46223</v>
      </c>
    </row>
    <row r="32">
      <c r="A32" s="8" t="n">
        <v>46245</v>
      </c>
    </row>
    <row r="33">
      <c r="A33" s="8" t="n">
        <v>46286</v>
      </c>
    </row>
    <row r="34">
      <c r="A34" s="8" t="n">
        <v>46288</v>
      </c>
    </row>
    <row r="35">
      <c r="A35" s="8" t="n">
        <v>46307</v>
      </c>
    </row>
    <row r="36">
      <c r="A36" s="8" t="n">
        <v>46329</v>
      </c>
    </row>
    <row r="37">
      <c r="A37" s="8" t="n">
        <v>46349</v>
      </c>
    </row>
    <row r="38">
      <c r="A38" s="8" t="n">
        <v>46388</v>
      </c>
    </row>
    <row r="39">
      <c r="A39" s="8" t="n">
        <v>46398</v>
      </c>
    </row>
    <row r="40">
      <c r="A40" s="8" t="n">
        <v>46429</v>
      </c>
    </row>
    <row r="41">
      <c r="A41" s="8" t="n">
        <v>46441</v>
      </c>
    </row>
    <row r="42">
      <c r="A42" s="8" t="n">
        <v>46468</v>
      </c>
    </row>
    <row r="43">
      <c r="A43" s="8" t="n">
        <v>46506</v>
      </c>
    </row>
    <row r="44">
      <c r="A44" s="8" t="n">
        <v>46510</v>
      </c>
    </row>
    <row r="45">
      <c r="A45" s="8" t="n">
        <v>46511</v>
      </c>
    </row>
    <row r="46">
      <c r="A46" s="8" t="n">
        <v>46512</v>
      </c>
    </row>
    <row r="47">
      <c r="A47" s="8" t="n">
        <v>46587</v>
      </c>
    </row>
    <row r="48">
      <c r="A48" s="8" t="n">
        <v>46610</v>
      </c>
    </row>
    <row r="49">
      <c r="A49" s="8" t="n">
        <v>46650</v>
      </c>
    </row>
    <row r="50">
      <c r="A50" s="8" t="n">
        <v>46653</v>
      </c>
    </row>
    <row r="51">
      <c r="A51" s="8" t="n">
        <v>46671</v>
      </c>
    </row>
    <row r="52">
      <c r="A52" s="8" t="n">
        <v>46694</v>
      </c>
    </row>
    <row r="53">
      <c r="A53" s="8" t="n">
        <v>46714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800000000000001" customWidth="1" min="4" max="4"/>
    <col width="9.800000000000001" customWidth="1" min="5" max="5"/>
    <col width="9.800000000000001" customWidth="1" min="6" max="6"/>
    <col width="9.800000000000001" customWidth="1" min="7" max="7"/>
    <col width="9.800000000000001" customWidth="1" min="8" max="8"/>
    <col width="9.800000000000001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9.800000000000001" customWidth="1" min="19" max="19"/>
    <col width="9.800000000000001" customWidth="1" min="20" max="20"/>
    <col width="9.800000000000001" customWidth="1" min="21" max="21"/>
    <col width="9.800000000000001" customWidth="1" min="22" max="22"/>
    <col width="9.800000000000001" customWidth="1" min="23" max="23"/>
    <col width="9.800000000000001" customWidth="1" min="24" max="24"/>
    <col width="9.800000000000001" customWidth="1" min="25" max="25"/>
    <col width="9.800000000000001" customWidth="1" min="26" max="26"/>
    <col width="9.800000000000001" customWidth="1" min="27" max="27"/>
    <col width="13" customWidth="1" min="28" max="28"/>
  </cols>
  <sheetData>
    <row r="1" ht="26" customHeight="1">
      <c r="A1" s="9">
        <f>" 週間資金繰表　令和"&amp;(設定!B2-2018)&amp;"年"&amp;設定!B3&amp;"月　AMUSE（岐信当座）"</f>
        <v/>
      </c>
    </row>
    <row r="2" ht="18" customHeight="1">
      <c r="A2" s="10" t="inlineStr">
        <is>
          <t>前 月 末 残</t>
        </is>
      </c>
      <c r="D2" s="11">
        <f>設定!$B$8</f>
        <v/>
      </c>
      <c r="E2" s="12" t="inlineStr">
        <is>
          <t>← 設定シートで変更できます</t>
        </is>
      </c>
    </row>
    <row r="3" hidden="1" ht="0.1" customHeight="1">
      <c r="D3" s="13">
        <f>IFERROR(WORKDAY(DATE(設定!$B$2,設定!$B$3,1)-1,1,祝日!$A:$A),"")</f>
        <v/>
      </c>
      <c r="E3" s="13">
        <f>IF(D3="","",IF(D3&gt;=EOMONTH(D3,0),"",IFERROR(WORKDAY(D3,1,祝日!$A:$A),"")))</f>
        <v/>
      </c>
      <c r="F3" s="13">
        <f>IF(E3="","",IF(E3&gt;=EOMONTH(D3,0),"",IFERROR(WORKDAY(E3,1,祝日!$A:$A),"")))</f>
        <v/>
      </c>
      <c r="G3" s="13">
        <f>IF(F3="","",IF(F3&gt;=EOMONTH(D3,0),"",IFERROR(WORKDAY(F3,1,祝日!$A:$A),"")))</f>
        <v/>
      </c>
      <c r="H3" s="13">
        <f>IF(G3="","",IF(G3&gt;=EOMONTH(D3,0),"",IFERROR(WORKDAY(G3,1,祝日!$A:$A),"")))</f>
        <v/>
      </c>
      <c r="I3" s="13">
        <f>IF(H3="","",IF(H3&gt;=EOMONTH(D3,0),"",IFERROR(WORKDAY(H3,1,祝日!$A:$A),"")))</f>
        <v/>
      </c>
      <c r="J3" s="13">
        <f>IF(I3="","",IF(I3&gt;=EOMONTH(D3,0),"",IFERROR(WORKDAY(I3,1,祝日!$A:$A),"")))</f>
        <v/>
      </c>
      <c r="K3" s="13">
        <f>IF(J3="","",IF(J3&gt;=EOMONTH(D3,0),"",IFERROR(WORKDAY(J3,1,祝日!$A:$A),"")))</f>
        <v/>
      </c>
      <c r="L3" s="13">
        <f>IF(K3="","",IF(K3&gt;=EOMONTH(D3,0),"",IFERROR(WORKDAY(K3,1,祝日!$A:$A),"")))</f>
        <v/>
      </c>
      <c r="M3" s="13">
        <f>IF(L3="","",IF(L3&gt;=EOMONTH(D3,0),"",IFERROR(WORKDAY(L3,1,祝日!$A:$A),"")))</f>
        <v/>
      </c>
      <c r="N3" s="13">
        <f>IF(M3="","",IF(M3&gt;=EOMONTH(D3,0),"",IFERROR(WORKDAY(M3,1,祝日!$A:$A),"")))</f>
        <v/>
      </c>
      <c r="O3" s="13">
        <f>IF(N3="","",IF(N3&gt;=EOMONTH(D3,0),"",IFERROR(WORKDAY(N3,1,祝日!$A:$A),"")))</f>
        <v/>
      </c>
      <c r="P3" s="13">
        <f>IF(O3="","",IF(O3&gt;=EOMONTH(D3,0),"",IFERROR(WORKDAY(O3,1,祝日!$A:$A),"")))</f>
        <v/>
      </c>
      <c r="Q3" s="13">
        <f>IF(P3="","",IF(P3&gt;=EOMONTH(D3,0),"",IFERROR(WORKDAY(P3,1,祝日!$A:$A),"")))</f>
        <v/>
      </c>
      <c r="R3" s="13">
        <f>IF(Q3="","",IF(Q3&gt;=EOMONTH(D3,0),"",IFERROR(WORKDAY(Q3,1,祝日!$A:$A),"")))</f>
        <v/>
      </c>
      <c r="S3" s="13">
        <f>IF(R3="","",IF(R3&gt;=EOMONTH(D3,0),"",IFERROR(WORKDAY(R3,1,祝日!$A:$A),"")))</f>
        <v/>
      </c>
      <c r="T3" s="13">
        <f>IF(S3="","",IF(S3&gt;=EOMONTH(D3,0),"",IFERROR(WORKDAY(S3,1,祝日!$A:$A),"")))</f>
        <v/>
      </c>
      <c r="U3" s="13">
        <f>IF(T3="","",IF(T3&gt;=EOMONTH(D3,0),"",IFERROR(WORKDAY(T3,1,祝日!$A:$A),"")))</f>
        <v/>
      </c>
      <c r="V3" s="13">
        <f>IF(U3="","",IF(U3&gt;=EOMONTH(D3,0),"",IFERROR(WORKDAY(U3,1,祝日!$A:$A),"")))</f>
        <v/>
      </c>
      <c r="W3" s="13">
        <f>IF(V3="","",IF(V3&gt;=EOMONTH(D3,0),"",IFERROR(WORKDAY(V3,1,祝日!$A:$A),"")))</f>
        <v/>
      </c>
      <c r="X3" s="13">
        <f>IF(W3="","",IF(W3&gt;=EOMONTH(D3,0),"",IFERROR(WORKDAY(W3,1,祝日!$A:$A),"")))</f>
        <v/>
      </c>
      <c r="Y3" s="13">
        <f>IF(X3="","",IF(X3&gt;=EOMONTH(D3,0),"",IFERROR(WORKDAY(X3,1,祝日!$A:$A),"")))</f>
        <v/>
      </c>
      <c r="Z3" s="13">
        <f>IF(Y3="","",IF(Y3&gt;=EOMONTH(D3,0),"",IFERROR(WORKDAY(Y3,1,祝日!$A:$A),"")))</f>
        <v/>
      </c>
      <c r="AA3" s="13">
        <f>IF(WORKDAY(EOMONTH(D3,0)-1,1,祝日!$A:$A)=EOMONTH(D3,0),"",WORKDAY(EOMONTH(D3,0),1,祝日!$A:$A))</f>
        <v/>
      </c>
    </row>
    <row r="4" ht="20" customHeight="1">
      <c r="A4" s="14" t="inlineStr">
        <is>
          <t>引落日等</t>
        </is>
      </c>
      <c r="B4" s="14" t="inlineStr">
        <is>
          <t>支　払　項　目</t>
        </is>
      </c>
      <c r="C4" s="14" t="inlineStr"/>
      <c r="D4" s="15">
        <f>IF(D3="","",TEXT(D3,"m/d(aaa)"))</f>
        <v/>
      </c>
      <c r="E4" s="15">
        <f>IF(E3="","",TEXT(E3,"m/d(aaa)"))</f>
        <v/>
      </c>
      <c r="F4" s="15">
        <f>IF(F3="","",TEXT(F3,"m/d(aaa)"))</f>
        <v/>
      </c>
      <c r="G4" s="15">
        <f>IF(G3="","",TEXT(G3,"m/d(aaa)"))</f>
        <v/>
      </c>
      <c r="H4" s="15">
        <f>IF(H3="","",TEXT(H3,"m/d(aaa)"))</f>
        <v/>
      </c>
      <c r="I4" s="15">
        <f>IF(I3="","",TEXT(I3,"m/d(aaa)"))</f>
        <v/>
      </c>
      <c r="J4" s="15">
        <f>IF(J3="","",TEXT(J3,"m/d(aaa)"))</f>
        <v/>
      </c>
      <c r="K4" s="15">
        <f>IF(K3="","",TEXT(K3,"m/d(aaa)"))</f>
        <v/>
      </c>
      <c r="L4" s="15">
        <f>IF(L3="","",TEXT(L3,"m/d(aaa)"))</f>
        <v/>
      </c>
      <c r="M4" s="15">
        <f>IF(M3="","",TEXT(M3,"m/d(aaa)"))</f>
        <v/>
      </c>
      <c r="N4" s="15">
        <f>IF(N3="","",TEXT(N3,"m/d(aaa)"))</f>
        <v/>
      </c>
      <c r="O4" s="15">
        <f>IF(O3="","",TEXT(O3,"m/d(aaa)"))</f>
        <v/>
      </c>
      <c r="P4" s="15">
        <f>IF(P3="","",TEXT(P3,"m/d(aaa)"))</f>
        <v/>
      </c>
      <c r="Q4" s="15">
        <f>IF(Q3="","",TEXT(Q3,"m/d(aaa)"))</f>
        <v/>
      </c>
      <c r="R4" s="15">
        <f>IF(R3="","",TEXT(R3,"m/d(aaa)"))</f>
        <v/>
      </c>
      <c r="S4" s="15">
        <f>IF(S3="","",TEXT(S3,"m/d(aaa)"))</f>
        <v/>
      </c>
      <c r="T4" s="15">
        <f>IF(T3="","",TEXT(T3,"m/d(aaa)"))</f>
        <v/>
      </c>
      <c r="U4" s="15">
        <f>IF(U3="","",TEXT(U3,"m/d(aaa)"))</f>
        <v/>
      </c>
      <c r="V4" s="15">
        <f>IF(V3="","",TEXT(V3,"m/d(aaa)"))</f>
        <v/>
      </c>
      <c r="W4" s="15">
        <f>IF(W3="","",TEXT(W3,"m/d(aaa)"))</f>
        <v/>
      </c>
      <c r="X4" s="15">
        <f>IF(X3="","",TEXT(X3,"m/d(aaa)"))</f>
        <v/>
      </c>
      <c r="Y4" s="15">
        <f>IF(Y3="","",TEXT(Y3,"m/d(aaa)"))</f>
        <v/>
      </c>
      <c r="Z4" s="15">
        <f>IF(Z3="","",TEXT(Z3,"m/d(aaa)"))</f>
        <v/>
      </c>
      <c r="AA4" s="15">
        <f>IF(AA3="","",TEXT(AA3,"m/d(aaa)"))</f>
        <v/>
      </c>
      <c r="AB4" s="15" t="inlineStr">
        <is>
          <t>月　計</t>
        </is>
      </c>
    </row>
    <row r="5" ht="14" customHeight="1">
      <c r="A5" s="16" t="inlineStr">
        <is>
          <t>【 支　出 】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8" t="n"/>
    </row>
    <row r="6" ht="14" customHeight="1">
      <c r="A6" s="19" t="inlineStr">
        <is>
          <t>10日</t>
        </is>
      </c>
      <c r="B6" s="20" t="inlineStr">
        <is>
          <t>NTT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2" t="n">
        <v>21004</v>
      </c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2" t="n">
        <v>15950</v>
      </c>
      <c r="W6" s="21" t="n"/>
      <c r="X6" s="22" t="n">
        <v>6318</v>
      </c>
      <c r="Y6" s="21" t="n"/>
      <c r="Z6" s="21" t="n"/>
      <c r="AA6" s="21" t="n"/>
      <c r="AB6" s="23">
        <f>SUM(D6:AA6)</f>
        <v/>
      </c>
    </row>
    <row r="7" ht="14" customHeight="1">
      <c r="A7" s="24" t="inlineStr">
        <is>
          <t>TCリース</t>
        </is>
      </c>
      <c r="B7" s="25" t="inlineStr">
        <is>
          <t>NTT（TCリース）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7" t="n">
        <v>5291</v>
      </c>
      <c r="Y7" s="26" t="n"/>
      <c r="Z7" s="26" t="n"/>
      <c r="AA7" s="26" t="n"/>
      <c r="AB7" s="28">
        <f>SUM(D7:AA7)</f>
        <v/>
      </c>
    </row>
    <row r="8" ht="14" customHeight="1">
      <c r="A8" s="19" t="inlineStr"/>
      <c r="B8" s="20" t="inlineStr">
        <is>
          <t>大日IP定額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3">
        <f>SUM(D8:AA8)</f>
        <v/>
      </c>
    </row>
    <row r="9" ht="14" customHeight="1">
      <c r="A9" s="24" t="inlineStr"/>
      <c r="B9" s="25" t="inlineStr">
        <is>
          <t>KDDI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7" t="n">
        <v>2700</v>
      </c>
      <c r="X9" s="26" t="n"/>
      <c r="Y9" s="26" t="n"/>
      <c r="Z9" s="26" t="n"/>
      <c r="AA9" s="26" t="n"/>
      <c r="AB9" s="28">
        <f>SUM(D9:AA9)</f>
        <v/>
      </c>
    </row>
    <row r="10" ht="14" customHeight="1">
      <c r="A10" s="19" t="inlineStr"/>
      <c r="B10" s="20" t="inlineStr">
        <is>
          <t>大日へ</t>
        </is>
      </c>
      <c r="C10" s="21" t="n"/>
      <c r="D10" s="21" t="n"/>
      <c r="E10" s="21" t="n"/>
      <c r="F10" s="21" t="n"/>
      <c r="G10" s="21" t="n"/>
      <c r="H10" s="21" t="n"/>
      <c r="I10" s="21" t="n"/>
      <c r="J10" s="22" t="n">
        <v>440000</v>
      </c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2" t="n">
        <v>5000000</v>
      </c>
      <c r="Y10" s="21" t="n"/>
      <c r="Z10" s="21" t="n"/>
      <c r="AA10" s="21" t="n"/>
      <c r="AB10" s="23">
        <f>SUM(D10:AA10)</f>
        <v/>
      </c>
    </row>
    <row r="11" ht="14" customHeight="1">
      <c r="A11" s="24" t="inlineStr"/>
      <c r="B11" s="25" t="inlineStr">
        <is>
          <t>テレマーカー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8">
        <f>SUM(D11:AA11)</f>
        <v/>
      </c>
    </row>
    <row r="12" ht="14" customHeight="1">
      <c r="A12" s="19" t="inlineStr"/>
      <c r="B12" s="20" t="inlineStr">
        <is>
          <t>山田組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2" t="n">
        <v>19360</v>
      </c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3">
        <f>SUM(D12:AA12)</f>
        <v/>
      </c>
    </row>
    <row r="13" ht="14" customHeight="1">
      <c r="A13" s="24" t="inlineStr"/>
      <c r="B13" s="25" t="inlineStr">
        <is>
          <t>ブリックス社労士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7" t="n">
        <v>30935</v>
      </c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8">
        <f>SUM(D13:AA13)</f>
        <v/>
      </c>
    </row>
    <row r="14" ht="14" customHeight="1">
      <c r="A14" s="19" t="inlineStr"/>
      <c r="B14" s="20" t="inlineStr">
        <is>
          <t>ぎしんBIZ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2" t="n">
        <v>3300</v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3">
        <f>SUM(D14:AA14)</f>
        <v/>
      </c>
    </row>
    <row r="15" ht="14" customHeight="1">
      <c r="A15" s="24" t="inlineStr"/>
      <c r="B15" s="25" t="inlineStr">
        <is>
          <t>東邦ガス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8">
        <f>SUM(D15:AA15)</f>
        <v/>
      </c>
    </row>
    <row r="16" ht="14" customHeight="1">
      <c r="A16" s="19" t="inlineStr"/>
      <c r="B16" s="20" t="inlineStr">
        <is>
          <t>水道料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3">
        <f>SUM(D16:AA16)</f>
        <v/>
      </c>
    </row>
    <row r="17" ht="14" customHeight="1">
      <c r="A17" s="24" t="inlineStr"/>
      <c r="B17" s="25" t="inlineStr">
        <is>
          <t>電気料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7" t="n">
        <v>862474</v>
      </c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8">
        <f>SUM(D17:AA17)</f>
        <v/>
      </c>
    </row>
    <row r="18" ht="14" customHeight="1">
      <c r="A18" s="19" t="inlineStr"/>
      <c r="B18" s="20" t="inlineStr">
        <is>
          <t>十六リース（設備）</t>
        </is>
      </c>
      <c r="C18" s="21" t="n"/>
      <c r="D18" s="21" t="n"/>
      <c r="E18" s="21" t="n"/>
      <c r="F18" s="21" t="n"/>
      <c r="G18" s="21" t="n"/>
      <c r="H18" s="21" t="n"/>
      <c r="I18" s="21" t="n"/>
      <c r="J18" s="22" t="n">
        <v>288200</v>
      </c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3">
        <f>SUM(D18:AA18)</f>
        <v/>
      </c>
    </row>
    <row r="19" ht="14" customHeight="1">
      <c r="A19" s="24" t="inlineStr"/>
      <c r="B19" s="25" t="inlineStr">
        <is>
          <t>十六リース（機械）</t>
        </is>
      </c>
      <c r="C19" s="26" t="n"/>
      <c r="D19" s="26" t="n"/>
      <c r="E19" s="26" t="n"/>
      <c r="F19" s="26" t="n"/>
      <c r="G19" s="26" t="n"/>
      <c r="H19" s="26" t="n"/>
      <c r="I19" s="26" t="n"/>
      <c r="J19" s="27" t="n">
        <v>2718595</v>
      </c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8">
        <f>SUM(D19:AA19)</f>
        <v/>
      </c>
    </row>
    <row r="20" ht="14" customHeight="1">
      <c r="A20" s="19" t="inlineStr">
        <is>
          <t>ロボットペイ</t>
        </is>
      </c>
      <c r="B20" s="20" t="inlineStr">
        <is>
          <t>イージス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2" t="n">
        <v>11165</v>
      </c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3">
        <f>SUM(D20:AA20)</f>
        <v/>
      </c>
    </row>
    <row r="21" ht="14" customHeight="1">
      <c r="A21" s="24" t="inlineStr"/>
      <c r="B21" s="25" t="inlineStr">
        <is>
          <t>高田繊維</t>
        </is>
      </c>
      <c r="C21" s="26" t="n"/>
      <c r="D21" s="26" t="n"/>
      <c r="E21" s="26" t="n"/>
      <c r="F21" s="26" t="n"/>
      <c r="G21" s="26" t="n"/>
      <c r="H21" s="26" t="n"/>
      <c r="I21" s="26" t="n"/>
      <c r="J21" s="27" t="n">
        <v>432400</v>
      </c>
      <c r="K21" s="26" t="n"/>
      <c r="L21" s="26" t="n"/>
      <c r="M21" s="26" t="n"/>
      <c r="N21" s="26" t="n"/>
      <c r="O21" s="26" t="n"/>
      <c r="P21" s="27" t="n">
        <v>142316</v>
      </c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8">
        <f>SUM(D21:AA21)</f>
        <v/>
      </c>
    </row>
    <row r="22" ht="14" customHeight="1">
      <c r="A22" s="19" t="inlineStr"/>
      <c r="B22" s="20" t="inlineStr">
        <is>
          <t>しんきんコピー機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2" t="n">
        <v>13860</v>
      </c>
      <c r="V22" s="21" t="n"/>
      <c r="W22" s="21" t="n"/>
      <c r="X22" s="21" t="n"/>
      <c r="Y22" s="21" t="n"/>
      <c r="Z22" s="21" t="n"/>
      <c r="AA22" s="21" t="n"/>
      <c r="AB22" s="23">
        <f>SUM(D22:AA22)</f>
        <v/>
      </c>
    </row>
    <row r="23" ht="14" customHeight="1">
      <c r="A23" s="24" t="inlineStr"/>
      <c r="B23" s="25" t="inlineStr">
        <is>
          <t>位田会計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7" t="n">
        <v>127600</v>
      </c>
      <c r="V23" s="26" t="n"/>
      <c r="W23" s="26" t="n"/>
      <c r="X23" s="26" t="n"/>
      <c r="Y23" s="26" t="n"/>
      <c r="Z23" s="26" t="n"/>
      <c r="AA23" s="26" t="n"/>
      <c r="AB23" s="28">
        <f>SUM(D23:AA23)</f>
        <v/>
      </c>
    </row>
    <row r="24" ht="14" customHeight="1">
      <c r="A24" s="19" t="inlineStr"/>
      <c r="B24" s="20" t="inlineStr">
        <is>
          <t>源泉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3">
        <f>SUM(D24:AA24)</f>
        <v/>
      </c>
    </row>
    <row r="25" ht="14" customHeight="1">
      <c r="A25" s="24" t="inlineStr"/>
      <c r="B25" s="25" t="inlineStr">
        <is>
          <t>住民税</t>
        </is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7" t="n">
        <v>61500</v>
      </c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8">
        <f>SUM(D25:AA25)</f>
        <v/>
      </c>
    </row>
    <row r="26" ht="14" customHeight="1">
      <c r="A26" s="19" t="inlineStr"/>
      <c r="B26" s="20" t="inlineStr">
        <is>
          <t>県遊協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3">
        <f>SUM(D26:AA26)</f>
        <v/>
      </c>
    </row>
    <row r="27" ht="14" customHeight="1">
      <c r="A27" s="24" t="inlineStr"/>
      <c r="B27" s="25" t="inlineStr">
        <is>
          <t>労働保険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8">
        <f>SUM(D27:AA27)</f>
        <v/>
      </c>
    </row>
    <row r="28" ht="14" customHeight="1">
      <c r="A28" s="19" t="inlineStr"/>
      <c r="B28" s="20" t="inlineStr">
        <is>
          <t>でんさい手数料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2" t="n">
        <v>15840</v>
      </c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3">
        <f>SUM(D28:AA28)</f>
        <v/>
      </c>
    </row>
    <row r="29" ht="14" customHeight="1">
      <c r="A29" s="24" t="inlineStr"/>
      <c r="B29" s="25" t="inlineStr">
        <is>
          <t>振込手数料</t>
        </is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7" t="n">
        <v>34760</v>
      </c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8">
        <f>SUM(D29:AA29)</f>
        <v/>
      </c>
    </row>
    <row r="30" ht="14" customHeight="1">
      <c r="A30" s="19" t="inlineStr"/>
      <c r="B30" s="20" t="inlineStr">
        <is>
          <t>給料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2" t="n">
        <v>2758340</v>
      </c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3">
        <f>SUM(D30:AA30)</f>
        <v/>
      </c>
    </row>
    <row r="31" ht="14" customHeight="1">
      <c r="A31" s="24" t="inlineStr"/>
      <c r="B31" s="25" t="inlineStr">
        <is>
          <t>役員/株主返済</t>
        </is>
      </c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8">
        <f>SUM(D31:AA31)</f>
        <v/>
      </c>
    </row>
    <row r="32" ht="14" customHeight="1">
      <c r="A32" s="19" t="inlineStr"/>
      <c r="B32" s="20" t="inlineStr">
        <is>
          <t>社会保険料</t>
        </is>
      </c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2" t="n">
        <v>640000</v>
      </c>
      <c r="Y32" s="21" t="n"/>
      <c r="Z32" s="21" t="n"/>
      <c r="AA32" s="21" t="n"/>
      <c r="AB32" s="23">
        <f>SUM(D32:AA32)</f>
        <v/>
      </c>
    </row>
    <row r="33" ht="14" customHeight="1">
      <c r="A33" s="24" t="inlineStr"/>
      <c r="B33" s="25" t="inlineStr">
        <is>
          <t>固定資産税</t>
        </is>
      </c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8">
        <f>SUM(D33:AA33)</f>
        <v/>
      </c>
    </row>
    <row r="34" ht="14" customHeight="1">
      <c r="A34" s="19" t="inlineStr"/>
      <c r="B34" s="20" t="inlineStr">
        <is>
          <t>グローリー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2" t="n">
        <v>360640</v>
      </c>
      <c r="W34" s="21" t="n"/>
      <c r="X34" s="21" t="n"/>
      <c r="Y34" s="21" t="n"/>
      <c r="Z34" s="21" t="n"/>
      <c r="AA34" s="21" t="n"/>
      <c r="AB34" s="23">
        <f>SUM(D34:AA34)</f>
        <v/>
      </c>
    </row>
    <row r="35" ht="14" customHeight="1">
      <c r="A35" s="24" t="inlineStr"/>
      <c r="B35" s="25" t="inlineStr">
        <is>
          <t>フジコム手形</t>
        </is>
      </c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7" t="n">
        <v>1557215</v>
      </c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8">
        <f>SUM(D35:AA35)</f>
        <v/>
      </c>
    </row>
    <row r="36" ht="14" customHeight="1">
      <c r="A36" s="19" t="inlineStr">
        <is>
          <t>26日</t>
        </is>
      </c>
      <c r="B36" s="20" t="inlineStr">
        <is>
          <t>北出家賃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2" t="n">
        <v>76250</v>
      </c>
      <c r="X36" s="21" t="n"/>
      <c r="Y36" s="21" t="n"/>
      <c r="Z36" s="21" t="n"/>
      <c r="AA36" s="21" t="n"/>
      <c r="AB36" s="23">
        <f>SUM(D36:AA36)</f>
        <v/>
      </c>
    </row>
    <row r="37" ht="14" customHeight="1">
      <c r="A37" s="24" t="inlineStr">
        <is>
          <t>26日</t>
        </is>
      </c>
      <c r="B37" s="25" t="inlineStr">
        <is>
          <t>アルソック入金機</t>
        </is>
      </c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7" t="n">
        <v>88000</v>
      </c>
      <c r="X37" s="26" t="n"/>
      <c r="Y37" s="26" t="n"/>
      <c r="Z37" s="26" t="n"/>
      <c r="AA37" s="26" t="n"/>
      <c r="AB37" s="28">
        <f>SUM(D37:AA37)</f>
        <v/>
      </c>
    </row>
    <row r="38" ht="14" customHeight="1">
      <c r="A38" s="19" t="inlineStr"/>
      <c r="B38" s="20" t="inlineStr">
        <is>
          <t>銀行返済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2" t="n">
        <v>3700000</v>
      </c>
      <c r="X38" s="21" t="n"/>
      <c r="Y38" s="21" t="n"/>
      <c r="Z38" s="21" t="n"/>
      <c r="AA38" s="21" t="n"/>
      <c r="AB38" s="23">
        <f>SUM(D38:AA38)</f>
        <v/>
      </c>
    </row>
    <row r="39" ht="14" customHeight="1">
      <c r="A39" s="24" t="inlineStr">
        <is>
          <t>26日</t>
        </is>
      </c>
      <c r="B39" s="25" t="inlineStr">
        <is>
          <t>ヤマト26日</t>
        </is>
      </c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7" t="n">
        <v>660</v>
      </c>
      <c r="W39" s="26" t="n"/>
      <c r="X39" s="26" t="n"/>
      <c r="Y39" s="26" t="n"/>
      <c r="Z39" s="26" t="n"/>
      <c r="AA39" s="26" t="n"/>
      <c r="AB39" s="28">
        <f>SUM(D39:AA39)</f>
        <v/>
      </c>
    </row>
    <row r="40" ht="14" customHeight="1">
      <c r="A40" s="19" t="inlineStr">
        <is>
          <t>27日</t>
        </is>
      </c>
      <c r="B40" s="20" t="inlineStr">
        <is>
          <t>北電子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2" t="n">
        <v>49280</v>
      </c>
      <c r="W40" s="21" t="n"/>
      <c r="X40" s="21" t="n"/>
      <c r="Y40" s="21" t="n"/>
      <c r="Z40" s="21" t="n"/>
      <c r="AA40" s="21" t="n"/>
      <c r="AB40" s="23">
        <f>SUM(D40:AA40)</f>
        <v/>
      </c>
    </row>
    <row r="41" ht="14" customHeight="1">
      <c r="A41" s="24" t="inlineStr"/>
      <c r="B41" s="25" t="inlineStr">
        <is>
          <t>機械手形</t>
        </is>
      </c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7" t="n">
        <v>1411595</v>
      </c>
      <c r="Y41" s="26" t="n"/>
      <c r="Z41" s="26" t="n"/>
      <c r="AA41" s="26" t="n"/>
      <c r="AB41" s="28">
        <f>SUM(D41:AA41)</f>
        <v/>
      </c>
    </row>
    <row r="42" ht="14" customHeight="1">
      <c r="A42" s="19" t="inlineStr"/>
      <c r="B42" s="20" t="inlineStr">
        <is>
          <t>機械他（小切手）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2" t="n">
        <v>613932</v>
      </c>
      <c r="X42" s="21" t="n"/>
      <c r="Y42" s="21" t="n"/>
      <c r="Z42" s="21" t="n"/>
      <c r="AA42" s="21" t="n"/>
      <c r="AB42" s="23">
        <f>SUM(D42:AA42)</f>
        <v/>
      </c>
    </row>
    <row r="43" ht="14" customHeight="1">
      <c r="A43" s="24" t="inlineStr"/>
      <c r="B43" s="25" t="inlineStr">
        <is>
          <t>月末振込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7" t="n">
        <v>2622018</v>
      </c>
      <c r="X43" s="26" t="n"/>
      <c r="Y43" s="26" t="n"/>
      <c r="Z43" s="26" t="n"/>
      <c r="AA43" s="26" t="n"/>
      <c r="AB43" s="28">
        <f>SUM(D43:AA43)</f>
        <v/>
      </c>
    </row>
    <row r="44" ht="14" customHeight="1">
      <c r="A44" s="19" t="inlineStr"/>
      <c r="B44" s="20" t="inlineStr">
        <is>
          <t>ダイコク（自）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2" t="n">
        <v>38500</v>
      </c>
      <c r="X44" s="21" t="n"/>
      <c r="Y44" s="21" t="n"/>
      <c r="Z44" s="21" t="n"/>
      <c r="AA44" s="21" t="n"/>
      <c r="AB44" s="23">
        <f>SUM(D44:AA44)</f>
        <v/>
      </c>
    </row>
    <row r="45" ht="14" customHeight="1">
      <c r="A45" s="24" t="inlineStr"/>
      <c r="B45" s="25" t="inlineStr">
        <is>
          <t>納税</t>
        </is>
      </c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7" t="n">
        <v>501668</v>
      </c>
      <c r="Y45" s="26" t="n"/>
      <c r="Z45" s="26" t="n"/>
      <c r="AA45" s="26" t="n"/>
      <c r="AB45" s="28">
        <f>SUM(D45:AA45)</f>
        <v/>
      </c>
    </row>
    <row r="46" ht="14" customHeight="1">
      <c r="A46" s="19" t="inlineStr"/>
      <c r="B46" s="20" t="inlineStr">
        <is>
          <t>電気・ガス代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3">
        <f>SUM(D46:AA46)</f>
        <v/>
      </c>
    </row>
    <row r="47" ht="14" customHeight="1">
      <c r="A47" s="24" t="inlineStr"/>
      <c r="B47" s="25" t="inlineStr">
        <is>
          <t>ウェルピアへ</t>
        </is>
      </c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8">
        <f>SUM(D47:AA47)</f>
        <v/>
      </c>
    </row>
    <row r="48" ht="14" customHeight="1">
      <c r="A48" s="19" t="inlineStr"/>
      <c r="B48" s="20" t="inlineStr">
        <is>
          <t>小口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3">
        <f>SUM(D48:AA48)</f>
        <v/>
      </c>
    </row>
    <row r="49" ht="14" customHeight="1">
      <c r="A49" s="24" t="inlineStr"/>
      <c r="B49" s="25" t="inlineStr">
        <is>
          <t>その他①</t>
        </is>
      </c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8">
        <f>SUM(D49:AA49)</f>
        <v/>
      </c>
    </row>
    <row r="50" ht="14" customHeight="1">
      <c r="A50" s="19" t="inlineStr"/>
      <c r="B50" s="20" t="inlineStr">
        <is>
          <t>その他②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3">
        <f>SUM(D50:AA50)</f>
        <v/>
      </c>
    </row>
    <row r="51" ht="16" customHeight="1">
      <c r="A51" s="29" t="inlineStr">
        <is>
          <t>支　払　合　計</t>
        </is>
      </c>
      <c r="B51" s="21" t="n"/>
      <c r="C51" s="21" t="n"/>
      <c r="D51" s="30">
        <f>SUM(D6:D50)</f>
        <v/>
      </c>
      <c r="E51" s="30">
        <f>SUM(E6:E50)</f>
        <v/>
      </c>
      <c r="F51" s="30">
        <f>SUM(F6:F50)</f>
        <v/>
      </c>
      <c r="G51" s="30">
        <f>SUM(G6:G50)</f>
        <v/>
      </c>
      <c r="H51" s="30">
        <f>SUM(H6:H50)</f>
        <v/>
      </c>
      <c r="I51" s="30">
        <f>SUM(I6:I50)</f>
        <v/>
      </c>
      <c r="J51" s="30">
        <f>SUM(J6:J50)</f>
        <v/>
      </c>
      <c r="K51" s="30">
        <f>SUM(K6:K50)</f>
        <v/>
      </c>
      <c r="L51" s="30">
        <f>SUM(L6:L50)</f>
        <v/>
      </c>
      <c r="M51" s="30">
        <f>SUM(M6:M50)</f>
        <v/>
      </c>
      <c r="N51" s="30">
        <f>SUM(N6:N50)</f>
        <v/>
      </c>
      <c r="O51" s="30">
        <f>SUM(O6:O50)</f>
        <v/>
      </c>
      <c r="P51" s="30">
        <f>SUM(P6:P50)</f>
        <v/>
      </c>
      <c r="Q51" s="30">
        <f>SUM(Q6:Q50)</f>
        <v/>
      </c>
      <c r="R51" s="30">
        <f>SUM(R6:R50)</f>
        <v/>
      </c>
      <c r="S51" s="30">
        <f>SUM(S6:S50)</f>
        <v/>
      </c>
      <c r="T51" s="30">
        <f>SUM(T6:T50)</f>
        <v/>
      </c>
      <c r="U51" s="30">
        <f>SUM(U6:U50)</f>
        <v/>
      </c>
      <c r="V51" s="30">
        <f>SUM(V6:V50)</f>
        <v/>
      </c>
      <c r="W51" s="30">
        <f>SUM(W6:W50)</f>
        <v/>
      </c>
      <c r="X51" s="30">
        <f>SUM(X6:X50)</f>
        <v/>
      </c>
      <c r="Y51" s="30">
        <f>SUM(Y6:Y50)</f>
        <v/>
      </c>
      <c r="Z51" s="30">
        <f>SUM(Z6:Z50)</f>
        <v/>
      </c>
      <c r="AA51" s="30">
        <f>SUM(AA6:AA50)</f>
        <v/>
      </c>
      <c r="AB51" s="31">
        <f>SUM(D51:AA51)</f>
        <v/>
      </c>
    </row>
    <row r="52" ht="14" customHeight="1">
      <c r="A52" s="32" t="inlineStr">
        <is>
          <t>【 収　入 】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33" t="n"/>
    </row>
    <row r="53" ht="14" customHeight="1">
      <c r="A53" s="34" t="inlineStr">
        <is>
          <t>E　売　上</t>
        </is>
      </c>
      <c r="B53" s="21" t="n"/>
      <c r="C53" s="21" t="n"/>
      <c r="D53" s="35" t="n">
        <v>813500</v>
      </c>
      <c r="E53" s="35" t="n">
        <v>340200</v>
      </c>
      <c r="F53" s="35" t="n">
        <v>360700</v>
      </c>
      <c r="G53" s="35" t="n">
        <v>2973600</v>
      </c>
      <c r="H53" s="35" t="n">
        <v>186000</v>
      </c>
      <c r="I53" s="35" t="n">
        <v>1028200</v>
      </c>
      <c r="J53" s="35" t="n">
        <v>672000</v>
      </c>
      <c r="K53" s="35" t="n">
        <v>514200</v>
      </c>
      <c r="L53" s="35" t="n">
        <v>3500000</v>
      </c>
      <c r="M53" s="35" t="n">
        <v>652200</v>
      </c>
      <c r="N53" s="35" t="n">
        <v>463900</v>
      </c>
      <c r="O53" s="35" t="n">
        <v>517100</v>
      </c>
      <c r="P53" s="35" t="n">
        <v>500000</v>
      </c>
      <c r="Q53" s="35" t="n">
        <v>2500000</v>
      </c>
      <c r="R53" s="35" t="n">
        <v>500000</v>
      </c>
      <c r="S53" s="35" t="n">
        <v>500000</v>
      </c>
      <c r="T53" s="35" t="n">
        <v>500000</v>
      </c>
      <c r="U53" s="35" t="n">
        <v>500000</v>
      </c>
      <c r="V53" s="35" t="n">
        <v>2500000</v>
      </c>
      <c r="W53" s="35" t="n"/>
      <c r="X53" s="35" t="n">
        <v>500000</v>
      </c>
      <c r="Y53" s="36" t="n"/>
      <c r="Z53" s="36" t="n"/>
      <c r="AA53" s="36" t="n"/>
      <c r="AB53" s="37">
        <f>SUM(D53:AA53)</f>
        <v/>
      </c>
    </row>
    <row r="54" ht="14" customHeight="1">
      <c r="A54" s="34" t="inlineStr">
        <is>
          <t>その他入金①</t>
        </is>
      </c>
      <c r="B54" s="21" t="n"/>
      <c r="C54" s="21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5" t="n">
        <v>22000</v>
      </c>
      <c r="W54" s="36" t="n"/>
      <c r="X54" s="36" t="n"/>
      <c r="Y54" s="36" t="n"/>
      <c r="Z54" s="36" t="n"/>
      <c r="AA54" s="36" t="n"/>
      <c r="AB54" s="37">
        <f>SUM(D54:AA54)</f>
        <v/>
      </c>
    </row>
    <row r="55" ht="14" customHeight="1">
      <c r="A55" s="34" t="inlineStr">
        <is>
          <t>その他入金②</t>
        </is>
      </c>
      <c r="B55" s="21" t="n"/>
      <c r="C55" s="21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5" t="n">
        <v>110000</v>
      </c>
      <c r="X55" s="36" t="n"/>
      <c r="Y55" s="36" t="n"/>
      <c r="Z55" s="36" t="n"/>
      <c r="AA55" s="36" t="n"/>
      <c r="AB55" s="37">
        <f>SUM(D55:AA55)</f>
        <v/>
      </c>
    </row>
    <row r="56" ht="16" customHeight="1">
      <c r="A56" s="38" t="inlineStr">
        <is>
          <t>収　入　合　計</t>
        </is>
      </c>
      <c r="B56" s="21" t="n"/>
      <c r="C56" s="21" t="n"/>
      <c r="D56" s="39">
        <f>SUM(D53:D55)</f>
        <v/>
      </c>
      <c r="E56" s="39">
        <f>SUM(E53:E55)</f>
        <v/>
      </c>
      <c r="F56" s="39">
        <f>SUM(F53:F55)</f>
        <v/>
      </c>
      <c r="G56" s="39">
        <f>SUM(G53:G55)</f>
        <v/>
      </c>
      <c r="H56" s="39">
        <f>SUM(H53:H55)</f>
        <v/>
      </c>
      <c r="I56" s="39">
        <f>SUM(I53:I55)</f>
        <v/>
      </c>
      <c r="J56" s="39">
        <f>SUM(J53:J55)</f>
        <v/>
      </c>
      <c r="K56" s="39">
        <f>SUM(K53:K55)</f>
        <v/>
      </c>
      <c r="L56" s="39">
        <f>SUM(L53:L55)</f>
        <v/>
      </c>
      <c r="M56" s="39">
        <f>SUM(M53:M55)</f>
        <v/>
      </c>
      <c r="N56" s="39">
        <f>SUM(N53:N55)</f>
        <v/>
      </c>
      <c r="O56" s="39">
        <f>SUM(O53:O55)</f>
        <v/>
      </c>
      <c r="P56" s="39">
        <f>SUM(P53:P55)</f>
        <v/>
      </c>
      <c r="Q56" s="39">
        <f>SUM(Q53:Q55)</f>
        <v/>
      </c>
      <c r="R56" s="39">
        <f>SUM(R53:R55)</f>
        <v/>
      </c>
      <c r="S56" s="39">
        <f>SUM(S53:S55)</f>
        <v/>
      </c>
      <c r="T56" s="39">
        <f>SUM(T53:T55)</f>
        <v/>
      </c>
      <c r="U56" s="39">
        <f>SUM(U53:U55)</f>
        <v/>
      </c>
      <c r="V56" s="39">
        <f>SUM(V53:V55)</f>
        <v/>
      </c>
      <c r="W56" s="39">
        <f>SUM(W53:W55)</f>
        <v/>
      </c>
      <c r="X56" s="39">
        <f>SUM(X53:X55)</f>
        <v/>
      </c>
      <c r="Y56" s="39">
        <f>SUM(Y53:Y55)</f>
        <v/>
      </c>
      <c r="Z56" s="39">
        <f>SUM(Z53:Z55)</f>
        <v/>
      </c>
      <c r="AA56" s="39">
        <f>SUM(AA53:AA55)</f>
        <v/>
      </c>
      <c r="AB56" s="40">
        <f>SUM(D56:AA56)</f>
        <v/>
      </c>
    </row>
    <row r="57" ht="22" customHeight="1">
      <c r="A57" s="41" t="inlineStr">
        <is>
          <t>残　　　高</t>
        </is>
      </c>
      <c r="B57" s="42" t="n"/>
      <c r="C57" s="42" t="n"/>
      <c r="D57" s="43">
        <f>IF(D3="","",$D$2+D56-D51)</f>
        <v/>
      </c>
      <c r="E57" s="43">
        <f>IF(E3="","",D57+E56-E51)</f>
        <v/>
      </c>
      <c r="F57" s="43">
        <f>IF(F3="","",E57+F56-F51)</f>
        <v/>
      </c>
      <c r="G57" s="43">
        <f>IF(G3="","",F57+G56-G51)</f>
        <v/>
      </c>
      <c r="H57" s="43">
        <f>IF(H3="","",G57+H56-H51)</f>
        <v/>
      </c>
      <c r="I57" s="43">
        <f>IF(I3="","",H57+I56-I51)</f>
        <v/>
      </c>
      <c r="J57" s="43">
        <f>IF(J3="","",I57+J56-J51)</f>
        <v/>
      </c>
      <c r="K57" s="43">
        <f>IF(K3="","",J57+K56-K51)</f>
        <v/>
      </c>
      <c r="L57" s="43">
        <f>IF(L3="","",K57+L56-L51)</f>
        <v/>
      </c>
      <c r="M57" s="43">
        <f>IF(M3="","",L57+M56-M51)</f>
        <v/>
      </c>
      <c r="N57" s="43">
        <f>IF(N3="","",M57+N56-N51)</f>
        <v/>
      </c>
      <c r="O57" s="43">
        <f>IF(O3="","",N57+O56-O51)</f>
        <v/>
      </c>
      <c r="P57" s="43">
        <f>IF(P3="","",O57+P56-P51)</f>
        <v/>
      </c>
      <c r="Q57" s="43">
        <f>IF(Q3="","",P57+Q56-Q51)</f>
        <v/>
      </c>
      <c r="R57" s="43">
        <f>IF(R3="","",Q57+R56-R51)</f>
        <v/>
      </c>
      <c r="S57" s="43">
        <f>IF(S3="","",R57+S56-S51)</f>
        <v/>
      </c>
      <c r="T57" s="43">
        <f>IF(T3="","",S57+T56-T51)</f>
        <v/>
      </c>
      <c r="U57" s="43">
        <f>IF(U3="","",T57+U56-U51)</f>
        <v/>
      </c>
      <c r="V57" s="43">
        <f>IF(V3="","",U57+V56-V51)</f>
        <v/>
      </c>
      <c r="W57" s="43">
        <f>IF(W3="","",V57+W56-W51)</f>
        <v/>
      </c>
      <c r="X57" s="43">
        <f>IF(X3="","",W57+X56-X51)</f>
        <v/>
      </c>
      <c r="Y57" s="43">
        <f>IF(Y3="","",X57+Y56-Y51)</f>
        <v/>
      </c>
      <c r="Z57" s="43">
        <f>IF(Z3="","",Y57+Z56-Z51)</f>
        <v/>
      </c>
      <c r="AA57" s="43">
        <f>IF(AA3="","",Z57+AA56-AA51)</f>
        <v/>
      </c>
      <c r="AB57" s="44">
        <f>IFERROR(LOOKUP(2,1/(D57:AA57&lt;&gt;""),D57:AA57),"")</f>
        <v/>
      </c>
    </row>
  </sheetData>
  <mergeCells count="11">
    <mergeCell ref="A52:AB52"/>
    <mergeCell ref="A57:C57"/>
    <mergeCell ref="A5:AB5"/>
    <mergeCell ref="E2:AB2"/>
    <mergeCell ref="A56:C56"/>
    <mergeCell ref="A1:AB1"/>
    <mergeCell ref="A53:C53"/>
    <mergeCell ref="A55:C55"/>
    <mergeCell ref="A54:C54"/>
    <mergeCell ref="A2:C2"/>
    <mergeCell ref="A51:C51"/>
  </mergeCells>
  <conditionalFormatting sqref="D4:AA4">
    <cfRule type="expression" priority="1" dxfId="0">
      <formula>=AND(D3&lt;&gt;"",COUNTIF(祝日!$A:$A,D3)&gt;0)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800000000000001" customWidth="1" min="4" max="4"/>
    <col width="9.800000000000001" customWidth="1" min="5" max="5"/>
    <col width="9.800000000000001" customWidth="1" min="6" max="6"/>
    <col width="9.800000000000001" customWidth="1" min="7" max="7"/>
    <col width="9.800000000000001" customWidth="1" min="8" max="8"/>
    <col width="9.800000000000001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9.800000000000001" customWidth="1" min="19" max="19"/>
    <col width="9.800000000000001" customWidth="1" min="20" max="20"/>
    <col width="9.800000000000001" customWidth="1" min="21" max="21"/>
    <col width="9.800000000000001" customWidth="1" min="22" max="22"/>
    <col width="9.800000000000001" customWidth="1" min="23" max="23"/>
    <col width="9.800000000000001" customWidth="1" min="24" max="24"/>
    <col width="9.800000000000001" customWidth="1" min="25" max="25"/>
    <col width="9.800000000000001" customWidth="1" min="26" max="26"/>
    <col width="9.800000000000001" customWidth="1" min="27" max="27"/>
    <col width="13" customWidth="1" min="28" max="28"/>
  </cols>
  <sheetData>
    <row r="1" ht="26" customHeight="1">
      <c r="A1" s="45">
        <f>" 週間資金繰表　令和"&amp;(設定!B2-2018)&amp;"年"&amp;設定!B3&amp;"月　大日産業（岐信当座）"</f>
        <v/>
      </c>
    </row>
    <row r="2" ht="18" customHeight="1">
      <c r="A2" s="10" t="inlineStr">
        <is>
          <t>前 月 末 残</t>
        </is>
      </c>
      <c r="D2" s="11">
        <f>設定!$B$9</f>
        <v/>
      </c>
      <c r="E2" s="12" t="inlineStr">
        <is>
          <t>← 設定シートで変更できます</t>
        </is>
      </c>
    </row>
    <row r="3" hidden="1" ht="0.1" customHeight="1">
      <c r="D3" s="13">
        <f>IFERROR(WORKDAY(DATE(設定!$B$2,設定!$B$3,1)-1,1,祝日!$A:$A),"")</f>
        <v/>
      </c>
      <c r="E3" s="13">
        <f>IF(D3="","",IF(D3&gt;=EOMONTH(D3,0),"",IFERROR(WORKDAY(D3,1,祝日!$A:$A),"")))</f>
        <v/>
      </c>
      <c r="F3" s="13">
        <f>IF(E3="","",IF(E3&gt;=EOMONTH(D3,0),"",IFERROR(WORKDAY(E3,1,祝日!$A:$A),"")))</f>
        <v/>
      </c>
      <c r="G3" s="13">
        <f>IF(F3="","",IF(F3&gt;=EOMONTH(D3,0),"",IFERROR(WORKDAY(F3,1,祝日!$A:$A),"")))</f>
        <v/>
      </c>
      <c r="H3" s="13">
        <f>IF(G3="","",IF(G3&gt;=EOMONTH(D3,0),"",IFERROR(WORKDAY(G3,1,祝日!$A:$A),"")))</f>
        <v/>
      </c>
      <c r="I3" s="13">
        <f>IF(H3="","",IF(H3&gt;=EOMONTH(D3,0),"",IFERROR(WORKDAY(H3,1,祝日!$A:$A),"")))</f>
        <v/>
      </c>
      <c r="J3" s="13">
        <f>IF(I3="","",IF(I3&gt;=EOMONTH(D3,0),"",IFERROR(WORKDAY(I3,1,祝日!$A:$A),"")))</f>
        <v/>
      </c>
      <c r="K3" s="13">
        <f>IF(J3="","",IF(J3&gt;=EOMONTH(D3,0),"",IFERROR(WORKDAY(J3,1,祝日!$A:$A),"")))</f>
        <v/>
      </c>
      <c r="L3" s="13">
        <f>IF(K3="","",IF(K3&gt;=EOMONTH(D3,0),"",IFERROR(WORKDAY(K3,1,祝日!$A:$A),"")))</f>
        <v/>
      </c>
      <c r="M3" s="13">
        <f>IF(L3="","",IF(L3&gt;=EOMONTH(D3,0),"",IFERROR(WORKDAY(L3,1,祝日!$A:$A),"")))</f>
        <v/>
      </c>
      <c r="N3" s="13">
        <f>IF(M3="","",IF(M3&gt;=EOMONTH(D3,0),"",IFERROR(WORKDAY(M3,1,祝日!$A:$A),"")))</f>
        <v/>
      </c>
      <c r="O3" s="13">
        <f>IF(N3="","",IF(N3&gt;=EOMONTH(D3,0),"",IFERROR(WORKDAY(N3,1,祝日!$A:$A),"")))</f>
        <v/>
      </c>
      <c r="P3" s="13">
        <f>IF(O3="","",IF(O3&gt;=EOMONTH(D3,0),"",IFERROR(WORKDAY(O3,1,祝日!$A:$A),"")))</f>
        <v/>
      </c>
      <c r="Q3" s="13">
        <f>IF(P3="","",IF(P3&gt;=EOMONTH(D3,0),"",IFERROR(WORKDAY(P3,1,祝日!$A:$A),"")))</f>
        <v/>
      </c>
      <c r="R3" s="13">
        <f>IF(Q3="","",IF(Q3&gt;=EOMONTH(D3,0),"",IFERROR(WORKDAY(Q3,1,祝日!$A:$A),"")))</f>
        <v/>
      </c>
      <c r="S3" s="13">
        <f>IF(R3="","",IF(R3&gt;=EOMONTH(D3,0),"",IFERROR(WORKDAY(R3,1,祝日!$A:$A),"")))</f>
        <v/>
      </c>
      <c r="T3" s="13">
        <f>IF(S3="","",IF(S3&gt;=EOMONTH(D3,0),"",IFERROR(WORKDAY(S3,1,祝日!$A:$A),"")))</f>
        <v/>
      </c>
      <c r="U3" s="13">
        <f>IF(T3="","",IF(T3&gt;=EOMONTH(D3,0),"",IFERROR(WORKDAY(T3,1,祝日!$A:$A),"")))</f>
        <v/>
      </c>
      <c r="V3" s="13">
        <f>IF(U3="","",IF(U3&gt;=EOMONTH(D3,0),"",IFERROR(WORKDAY(U3,1,祝日!$A:$A),"")))</f>
        <v/>
      </c>
      <c r="W3" s="13">
        <f>IF(V3="","",IF(V3&gt;=EOMONTH(D3,0),"",IFERROR(WORKDAY(V3,1,祝日!$A:$A),"")))</f>
        <v/>
      </c>
      <c r="X3" s="13">
        <f>IF(W3="","",IF(W3&gt;=EOMONTH(D3,0),"",IFERROR(WORKDAY(W3,1,祝日!$A:$A),"")))</f>
        <v/>
      </c>
      <c r="Y3" s="13">
        <f>IF(X3="","",IF(X3&gt;=EOMONTH(D3,0),"",IFERROR(WORKDAY(X3,1,祝日!$A:$A),"")))</f>
        <v/>
      </c>
      <c r="Z3" s="13">
        <f>IF(Y3="","",IF(Y3&gt;=EOMONTH(D3,0),"",IFERROR(WORKDAY(Y3,1,祝日!$A:$A),"")))</f>
        <v/>
      </c>
      <c r="AA3" s="13">
        <f>IF(WORKDAY(EOMONTH(D3,0)-1,1,祝日!$A:$A)=EOMONTH(D3,0),"",WORKDAY(EOMONTH(D3,0),1,祝日!$A:$A))</f>
        <v/>
      </c>
    </row>
    <row r="4" ht="20" customHeight="1">
      <c r="A4" s="46" t="inlineStr">
        <is>
          <t>引落日等</t>
        </is>
      </c>
      <c r="B4" s="46" t="inlineStr">
        <is>
          <t>支　払　項　目</t>
        </is>
      </c>
      <c r="C4" s="46" t="inlineStr"/>
      <c r="D4" s="47">
        <f>IF(D3="","",TEXT(D3,"m/d(aaa)"))</f>
        <v/>
      </c>
      <c r="E4" s="47">
        <f>IF(E3="","",TEXT(E3,"m/d(aaa)"))</f>
        <v/>
      </c>
      <c r="F4" s="47">
        <f>IF(F3="","",TEXT(F3,"m/d(aaa)"))</f>
        <v/>
      </c>
      <c r="G4" s="47">
        <f>IF(G3="","",TEXT(G3,"m/d(aaa)"))</f>
        <v/>
      </c>
      <c r="H4" s="47">
        <f>IF(H3="","",TEXT(H3,"m/d(aaa)"))</f>
        <v/>
      </c>
      <c r="I4" s="47">
        <f>IF(I3="","",TEXT(I3,"m/d(aaa)"))</f>
        <v/>
      </c>
      <c r="J4" s="47">
        <f>IF(J3="","",TEXT(J3,"m/d(aaa)"))</f>
        <v/>
      </c>
      <c r="K4" s="47">
        <f>IF(K3="","",TEXT(K3,"m/d(aaa)"))</f>
        <v/>
      </c>
      <c r="L4" s="47">
        <f>IF(L3="","",TEXT(L3,"m/d(aaa)"))</f>
        <v/>
      </c>
      <c r="M4" s="47">
        <f>IF(M3="","",TEXT(M3,"m/d(aaa)"))</f>
        <v/>
      </c>
      <c r="N4" s="47">
        <f>IF(N3="","",TEXT(N3,"m/d(aaa)"))</f>
        <v/>
      </c>
      <c r="O4" s="47">
        <f>IF(O3="","",TEXT(O3,"m/d(aaa)"))</f>
        <v/>
      </c>
      <c r="P4" s="47">
        <f>IF(P3="","",TEXT(P3,"m/d(aaa)"))</f>
        <v/>
      </c>
      <c r="Q4" s="47">
        <f>IF(Q3="","",TEXT(Q3,"m/d(aaa)"))</f>
        <v/>
      </c>
      <c r="R4" s="47">
        <f>IF(R3="","",TEXT(R3,"m/d(aaa)"))</f>
        <v/>
      </c>
      <c r="S4" s="47">
        <f>IF(S3="","",TEXT(S3,"m/d(aaa)"))</f>
        <v/>
      </c>
      <c r="T4" s="47">
        <f>IF(T3="","",TEXT(T3,"m/d(aaa)"))</f>
        <v/>
      </c>
      <c r="U4" s="47">
        <f>IF(U3="","",TEXT(U3,"m/d(aaa)"))</f>
        <v/>
      </c>
      <c r="V4" s="47">
        <f>IF(V3="","",TEXT(V3,"m/d(aaa)"))</f>
        <v/>
      </c>
      <c r="W4" s="47">
        <f>IF(W3="","",TEXT(W3,"m/d(aaa)"))</f>
        <v/>
      </c>
      <c r="X4" s="47">
        <f>IF(X3="","",TEXT(X3,"m/d(aaa)"))</f>
        <v/>
      </c>
      <c r="Y4" s="47">
        <f>IF(Y3="","",TEXT(Y3,"m/d(aaa)"))</f>
        <v/>
      </c>
      <c r="Z4" s="47">
        <f>IF(Z3="","",TEXT(Z3,"m/d(aaa)"))</f>
        <v/>
      </c>
      <c r="AA4" s="47">
        <f>IF(AA3="","",TEXT(AA3,"m/d(aaa)"))</f>
        <v/>
      </c>
      <c r="AB4" s="47" t="inlineStr">
        <is>
          <t>月　計</t>
        </is>
      </c>
    </row>
    <row r="5" ht="14" customHeight="1">
      <c r="A5" s="16" t="inlineStr">
        <is>
          <t>【 支　出 】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8" t="n"/>
    </row>
    <row r="6" ht="14" customHeight="1">
      <c r="A6" s="19" t="inlineStr">
        <is>
          <t>トヨタF</t>
        </is>
      </c>
      <c r="B6" s="20" t="inlineStr">
        <is>
          <t>ENEOS ビジネス</t>
        </is>
      </c>
      <c r="C6" s="21" t="n"/>
      <c r="D6" s="21" t="n"/>
      <c r="E6" s="21" t="n"/>
      <c r="F6" s="21" t="n"/>
      <c r="G6" s="22" t="n">
        <v>74805</v>
      </c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3">
        <f>SUM(D6:AA6)</f>
        <v/>
      </c>
    </row>
    <row r="7" ht="14" customHeight="1">
      <c r="A7" s="48" t="inlineStr"/>
      <c r="B7" s="49" t="inlineStr">
        <is>
          <t>JCB</t>
        </is>
      </c>
      <c r="C7" s="50" t="n"/>
      <c r="D7" s="50" t="n"/>
      <c r="E7" s="50" t="n"/>
      <c r="F7" s="50" t="n"/>
      <c r="G7" s="50" t="n"/>
      <c r="H7" s="50" t="n"/>
      <c r="I7" s="50" t="n"/>
      <c r="J7" s="50" t="n"/>
      <c r="K7" s="51" t="n">
        <v>82270</v>
      </c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2">
        <f>SUM(D7:AA7)</f>
        <v/>
      </c>
    </row>
    <row r="8" ht="14" customHeight="1">
      <c r="A8" s="19" t="inlineStr"/>
      <c r="B8" s="20" t="inlineStr">
        <is>
          <t>JCB（ガソリン）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3">
        <f>SUM(D8:AA8)</f>
        <v/>
      </c>
    </row>
    <row r="9" ht="14" customHeight="1">
      <c r="A9" s="48" t="inlineStr"/>
      <c r="B9" s="49" t="inlineStr">
        <is>
          <t>タキ新聞店</t>
        </is>
      </c>
      <c r="C9" s="50" t="n"/>
      <c r="D9" s="50" t="n"/>
      <c r="E9" s="50" t="n"/>
      <c r="F9" s="50" t="n"/>
      <c r="G9" s="51" t="n">
        <v>3350</v>
      </c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2">
        <f>SUM(D9:AA9)</f>
        <v/>
      </c>
    </row>
    <row r="10" ht="14" customHeight="1">
      <c r="A10" s="19" t="inlineStr"/>
      <c r="B10" s="20" t="inlineStr">
        <is>
          <t>セディナ三井住友</t>
        </is>
      </c>
      <c r="C10" s="21" t="n"/>
      <c r="D10" s="21" t="n"/>
      <c r="E10" s="21" t="n"/>
      <c r="F10" s="21" t="n"/>
      <c r="G10" s="22" t="n">
        <v>5562</v>
      </c>
      <c r="H10" s="21" t="n"/>
      <c r="I10" s="21" t="n"/>
      <c r="J10" s="21" t="n"/>
      <c r="K10" s="22" t="n">
        <v>1470</v>
      </c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3">
        <f>SUM(D10:AA10)</f>
        <v/>
      </c>
    </row>
    <row r="11" ht="14" customHeight="1">
      <c r="A11" s="48" t="inlineStr"/>
      <c r="B11" s="49" t="inlineStr">
        <is>
          <t>安心財団</t>
        </is>
      </c>
      <c r="C11" s="50" t="n"/>
      <c r="D11" s="50" t="n"/>
      <c r="E11" s="50" t="n"/>
      <c r="F11" s="50" t="n"/>
      <c r="G11" s="51" t="n">
        <v>2000</v>
      </c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2">
        <f>SUM(D11:AA11)</f>
        <v/>
      </c>
    </row>
    <row r="12" ht="14" customHeight="1">
      <c r="A12" s="19" t="inlineStr"/>
      <c r="B12" s="20" t="inlineStr">
        <is>
          <t>トヨタ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3">
        <f>SUM(D12:AA12)</f>
        <v/>
      </c>
    </row>
    <row r="13" ht="14" customHeight="1">
      <c r="A13" s="48" t="inlineStr"/>
      <c r="B13" s="49" t="inlineStr">
        <is>
          <t>KDDI</t>
        </is>
      </c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1" t="n">
        <v>2500</v>
      </c>
      <c r="Y13" s="50" t="n"/>
      <c r="Z13" s="50" t="n"/>
      <c r="AA13" s="50" t="n"/>
      <c r="AB13" s="52">
        <f>SUM(D13:AA13)</f>
        <v/>
      </c>
    </row>
    <row r="14" ht="14" customHeight="1">
      <c r="A14" s="19" t="inlineStr"/>
      <c r="B14" s="20" t="inlineStr">
        <is>
          <t>NTT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2" t="n">
        <v>14532</v>
      </c>
      <c r="Y14" s="21" t="n"/>
      <c r="Z14" s="21" t="n"/>
      <c r="AA14" s="21" t="n"/>
      <c r="AB14" s="23">
        <f>SUM(D14:AA14)</f>
        <v/>
      </c>
    </row>
    <row r="15" ht="14" customHeight="1">
      <c r="A15" s="48" t="inlineStr"/>
      <c r="B15" s="49" t="inlineStr">
        <is>
          <t>しょうしんへ</t>
        </is>
      </c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2">
        <f>SUM(D15:AA15)</f>
        <v/>
      </c>
    </row>
    <row r="16" ht="14" customHeight="1">
      <c r="A16" s="19" t="inlineStr">
        <is>
          <t>22日</t>
        </is>
      </c>
      <c r="B16" s="20" t="inlineStr">
        <is>
          <t>しんきんリース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2" t="n">
        <v>652052</v>
      </c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3">
        <f>SUM(D16:AA16)</f>
        <v/>
      </c>
    </row>
    <row r="17" ht="14" customHeight="1">
      <c r="A17" s="48" t="inlineStr"/>
      <c r="B17" s="49" t="inlineStr">
        <is>
          <t>十六カード</t>
        </is>
      </c>
      <c r="C17" s="50" t="n"/>
      <c r="D17" s="50" t="n"/>
      <c r="E17" s="50" t="n"/>
      <c r="F17" s="50" t="n"/>
      <c r="G17" s="50" t="n"/>
      <c r="H17" s="50" t="n"/>
      <c r="I17" s="50" t="n"/>
      <c r="J17" s="51" t="n">
        <v>610992</v>
      </c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2">
        <f>SUM(D17:AA17)</f>
        <v/>
      </c>
    </row>
    <row r="18" ht="14" customHeight="1">
      <c r="A18" s="19" t="inlineStr"/>
      <c r="B18" s="20" t="inlineStr">
        <is>
          <t>十六リース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3">
        <f>SUM(D18:AA18)</f>
        <v/>
      </c>
    </row>
    <row r="19" ht="14" customHeight="1">
      <c r="A19" s="48" t="inlineStr">
        <is>
          <t>20日</t>
        </is>
      </c>
      <c r="B19" s="49" t="inlineStr">
        <is>
          <t>商工中金へ</t>
        </is>
      </c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1" t="n">
        <v>850000</v>
      </c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2">
        <f>SUM(D19:AA19)</f>
        <v/>
      </c>
    </row>
    <row r="20" ht="14" customHeight="1">
      <c r="A20" s="19" t="inlineStr"/>
      <c r="B20" s="20" t="inlineStr">
        <is>
          <t>証書借入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2" t="n">
        <v>530000</v>
      </c>
      <c r="W20" s="21" t="n"/>
      <c r="X20" s="21" t="n"/>
      <c r="Y20" s="21" t="n"/>
      <c r="Z20" s="21" t="n"/>
      <c r="AA20" s="21" t="n"/>
      <c r="AB20" s="23">
        <f>SUM(D20:AA20)</f>
        <v/>
      </c>
    </row>
    <row r="21" ht="14" customHeight="1">
      <c r="A21" s="48" t="inlineStr"/>
      <c r="B21" s="49" t="inlineStr">
        <is>
          <t>ウェルピア羽島</t>
        </is>
      </c>
      <c r="C21" s="50" t="n"/>
      <c r="D21" s="50" t="n"/>
      <c r="E21" s="50" t="n"/>
      <c r="F21" s="50" t="n"/>
      <c r="G21" s="50" t="n"/>
      <c r="H21" s="50" t="n"/>
      <c r="I21" s="50" t="n"/>
      <c r="J21" s="51" t="n">
        <v>1650000</v>
      </c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2">
        <f>SUM(D21:AA21)</f>
        <v/>
      </c>
    </row>
    <row r="22" ht="14" customHeight="1">
      <c r="A22" s="19" t="inlineStr"/>
      <c r="B22" s="20" t="inlineStr">
        <is>
          <t>ウェルピアへ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3">
        <f>SUM(D22:AA22)</f>
        <v/>
      </c>
    </row>
    <row r="23" ht="14" customHeight="1">
      <c r="A23" s="48" t="inlineStr"/>
      <c r="B23" s="49" t="inlineStr">
        <is>
          <t>AMUSEへ</t>
        </is>
      </c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2">
        <f>SUM(D23:AA23)</f>
        <v/>
      </c>
    </row>
    <row r="24" ht="14" customHeight="1">
      <c r="A24" s="19" t="inlineStr"/>
      <c r="B24" s="20" t="inlineStr">
        <is>
          <t>ブリックス社労士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2" t="n">
        <v>22952</v>
      </c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3">
        <f>SUM(D24:AA24)</f>
        <v/>
      </c>
    </row>
    <row r="25" ht="14" customHeight="1">
      <c r="A25" s="48" t="inlineStr"/>
      <c r="B25" s="49" t="inlineStr">
        <is>
          <t>東邦液化ガス</t>
        </is>
      </c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2">
        <f>SUM(D25:AA25)</f>
        <v/>
      </c>
    </row>
    <row r="26" ht="14" customHeight="1">
      <c r="A26" s="19" t="inlineStr"/>
      <c r="B26" s="20" t="inlineStr">
        <is>
          <t>水道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3">
        <f>SUM(D26:AA26)</f>
        <v/>
      </c>
    </row>
    <row r="27" ht="14" customHeight="1">
      <c r="A27" s="48" t="inlineStr"/>
      <c r="B27" s="49" t="inlineStr">
        <is>
          <t>電気料</t>
        </is>
      </c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2">
        <f>SUM(D27:AA27)</f>
        <v/>
      </c>
    </row>
    <row r="28" ht="14" customHeight="1">
      <c r="A28" s="19" t="inlineStr"/>
      <c r="B28" s="20" t="inlineStr">
        <is>
          <t>源泉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  <c r="K28" s="22" t="n">
        <v>6650</v>
      </c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3">
        <f>SUM(D28:AA28)</f>
        <v/>
      </c>
    </row>
    <row r="29" ht="14" customHeight="1">
      <c r="A29" s="48" t="inlineStr"/>
      <c r="B29" s="49" t="inlineStr">
        <is>
          <t>住民税</t>
        </is>
      </c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1" t="n">
        <v>25800</v>
      </c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2">
        <f>SUM(D29:AA29)</f>
        <v/>
      </c>
    </row>
    <row r="30" ht="14" customHeight="1">
      <c r="A30" s="19" t="inlineStr"/>
      <c r="B30" s="20" t="inlineStr">
        <is>
          <t>労働保険料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3">
        <f>SUM(D30:AA30)</f>
        <v/>
      </c>
    </row>
    <row r="31" ht="14" customHeight="1">
      <c r="A31" s="48" t="inlineStr"/>
      <c r="B31" s="49" t="inlineStr">
        <is>
          <t>振込手数料</t>
        </is>
      </c>
      <c r="C31" s="50" t="n"/>
      <c r="D31" s="50" t="n"/>
      <c r="E31" s="50" t="n"/>
      <c r="F31" s="50" t="n"/>
      <c r="G31" s="50" t="n"/>
      <c r="H31" s="50" t="n"/>
      <c r="I31" s="50" t="n"/>
      <c r="J31" s="50" t="n"/>
      <c r="K31" s="51" t="n">
        <v>32285</v>
      </c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2">
        <f>SUM(D31:AA31)</f>
        <v/>
      </c>
    </row>
    <row r="32" ht="14" customHeight="1">
      <c r="A32" s="19" t="inlineStr"/>
      <c r="B32" s="20" t="inlineStr">
        <is>
          <t>小口</t>
        </is>
      </c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2" t="n">
        <v>500000</v>
      </c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3">
        <f>SUM(D32:AA32)</f>
        <v/>
      </c>
    </row>
    <row r="33" ht="14" customHeight="1">
      <c r="A33" s="48" t="inlineStr"/>
      <c r="B33" s="49" t="inlineStr">
        <is>
          <t>給料</t>
        </is>
      </c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1" t="n">
        <v>1239784</v>
      </c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2">
        <f>SUM(D33:AA33)</f>
        <v/>
      </c>
    </row>
    <row r="34" ht="14" customHeight="1">
      <c r="A34" s="19" t="inlineStr"/>
      <c r="B34" s="20" t="inlineStr">
        <is>
          <t>ボディケア費用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3">
        <f>SUM(D34:AA34)</f>
        <v/>
      </c>
    </row>
    <row r="35" ht="14" customHeight="1">
      <c r="A35" s="48" t="inlineStr"/>
      <c r="B35" s="49" t="inlineStr">
        <is>
          <t>サイクル費用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>
        <v>19249</v>
      </c>
      <c r="K35" s="50" t="n"/>
      <c r="L35" s="50" t="n"/>
      <c r="M35" s="50" t="n"/>
      <c r="N35" s="50" t="n"/>
      <c r="O35" s="50" t="n"/>
      <c r="P35" s="51" t="n">
        <v>47420</v>
      </c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2">
        <f>SUM(D35:AA35)</f>
        <v/>
      </c>
    </row>
    <row r="36" ht="14" customHeight="1">
      <c r="A36" s="19" t="inlineStr"/>
      <c r="B36" s="20" t="inlineStr">
        <is>
          <t>ボディケア30日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2" t="n">
        <v>351150</v>
      </c>
      <c r="X36" s="21" t="n"/>
      <c r="Y36" s="21" t="n"/>
      <c r="Z36" s="21" t="n"/>
      <c r="AA36" s="21" t="n"/>
      <c r="AB36" s="23">
        <f>SUM(D36:AA36)</f>
        <v/>
      </c>
    </row>
    <row r="37" ht="14" customHeight="1">
      <c r="A37" s="48" t="inlineStr"/>
      <c r="B37" s="49" t="inlineStr">
        <is>
          <t>サイクル月末</t>
        </is>
      </c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1" t="n">
        <v>100592</v>
      </c>
      <c r="X37" s="50" t="n"/>
      <c r="Y37" s="50" t="n"/>
      <c r="Z37" s="50" t="n"/>
      <c r="AA37" s="50" t="n"/>
      <c r="AB37" s="52">
        <f>SUM(D37:AA37)</f>
        <v/>
      </c>
    </row>
    <row r="38" ht="14" customHeight="1">
      <c r="A38" s="19" t="inlineStr"/>
      <c r="B38" s="20" t="inlineStr">
        <is>
          <t>Eats月末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3">
        <f>SUM(D38:AA38)</f>
        <v/>
      </c>
    </row>
    <row r="39" ht="14" customHeight="1">
      <c r="A39" s="48" t="inlineStr">
        <is>
          <t>26日</t>
        </is>
      </c>
      <c r="B39" s="49" t="inlineStr">
        <is>
          <t>本社月末振込</t>
        </is>
      </c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1" t="n">
        <v>70350</v>
      </c>
      <c r="X39" s="50" t="n"/>
      <c r="Y39" s="50" t="n"/>
      <c r="Z39" s="50" t="n"/>
      <c r="AA39" s="50" t="n"/>
      <c r="AB39" s="52">
        <f>SUM(D39:AA39)</f>
        <v/>
      </c>
    </row>
    <row r="40" ht="14" customHeight="1">
      <c r="A40" s="19" t="inlineStr">
        <is>
          <t>26日</t>
        </is>
      </c>
      <c r="B40" s="20" t="inlineStr">
        <is>
          <t>GM地権者振＋他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2" t="n">
        <v>3216251</v>
      </c>
      <c r="X40" s="21" t="n"/>
      <c r="Y40" s="21" t="n"/>
      <c r="Z40" s="21" t="n"/>
      <c r="AA40" s="21" t="n"/>
      <c r="AB40" s="23">
        <f>SUM(D40:AA40)</f>
        <v/>
      </c>
    </row>
    <row r="41" ht="14" customHeight="1">
      <c r="A41" s="48" t="inlineStr"/>
      <c r="B41" s="49" t="inlineStr">
        <is>
          <t>長野農研</t>
        </is>
      </c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1" t="n">
        <v>143000</v>
      </c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2">
        <f>SUM(D41:AA41)</f>
        <v/>
      </c>
    </row>
    <row r="42" ht="14" customHeight="1">
      <c r="A42" s="19" t="inlineStr"/>
      <c r="B42" s="20" t="inlineStr">
        <is>
          <t>日浦新聞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2" t="n">
        <v>6750</v>
      </c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3">
        <f>SUM(D42:AA42)</f>
        <v/>
      </c>
    </row>
    <row r="43" ht="14" customHeight="1">
      <c r="A43" s="48" t="inlineStr"/>
      <c r="B43" s="49" t="inlineStr">
        <is>
          <t>位田会計</t>
        </is>
      </c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1" t="n">
        <v>36300</v>
      </c>
      <c r="U43" s="50" t="n"/>
      <c r="V43" s="50" t="n"/>
      <c r="W43" s="50" t="n"/>
      <c r="X43" s="50" t="n"/>
      <c r="Y43" s="50" t="n"/>
      <c r="Z43" s="50" t="n"/>
      <c r="AA43" s="50" t="n"/>
      <c r="AB43" s="52">
        <f>SUM(D43:AA43)</f>
        <v/>
      </c>
    </row>
    <row r="44" ht="14" customHeight="1">
      <c r="A44" s="19" t="inlineStr"/>
      <c r="B44" s="20" t="inlineStr">
        <is>
          <t>F&amp;M 27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2" t="n">
        <v>49500</v>
      </c>
      <c r="X44" s="21" t="n"/>
      <c r="Y44" s="21" t="n"/>
      <c r="Z44" s="21" t="n"/>
      <c r="AA44" s="21" t="n"/>
      <c r="AB44" s="23">
        <f>SUM(D44:AA44)</f>
        <v/>
      </c>
    </row>
    <row r="45" ht="14" customHeight="1">
      <c r="A45" s="48" t="inlineStr">
        <is>
          <t>26日</t>
        </is>
      </c>
      <c r="B45" s="49" t="inlineStr">
        <is>
          <t>佐川</t>
        </is>
      </c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1" t="n">
        <v>3234</v>
      </c>
      <c r="X45" s="50" t="n"/>
      <c r="Y45" s="50" t="n"/>
      <c r="Z45" s="50" t="n"/>
      <c r="AA45" s="50" t="n"/>
      <c r="AB45" s="52">
        <f>SUM(D45:AA45)</f>
        <v/>
      </c>
    </row>
    <row r="46" ht="14" customHeight="1">
      <c r="A46" s="19" t="inlineStr">
        <is>
          <t>26日</t>
        </is>
      </c>
      <c r="B46" s="20" t="inlineStr">
        <is>
          <t>ヤマト26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2" t="n">
        <v>1320</v>
      </c>
      <c r="X46" s="21" t="n"/>
      <c r="Y46" s="21" t="n"/>
      <c r="Z46" s="21" t="n"/>
      <c r="AA46" s="21" t="n"/>
      <c r="AB46" s="23">
        <f>SUM(D46:AA46)</f>
        <v/>
      </c>
    </row>
    <row r="47" ht="14" customHeight="1">
      <c r="A47" s="48" t="inlineStr"/>
      <c r="B47" s="49" t="inlineStr">
        <is>
          <t>アルファスタッフ</t>
        </is>
      </c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2">
        <f>SUM(D47:AA47)</f>
        <v/>
      </c>
    </row>
    <row r="48" ht="14" customHeight="1">
      <c r="A48" s="19" t="inlineStr"/>
      <c r="B48" s="20" t="inlineStr">
        <is>
          <t>S・B26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2" t="n">
        <v>63203</v>
      </c>
      <c r="X48" s="21" t="n"/>
      <c r="Y48" s="21" t="n"/>
      <c r="Z48" s="21" t="n"/>
      <c r="AA48" s="21" t="n"/>
      <c r="AB48" s="23">
        <f>SUM(D48:AA48)</f>
        <v/>
      </c>
    </row>
    <row r="49" ht="14" customHeight="1">
      <c r="A49" s="48" t="inlineStr">
        <is>
          <t>26日</t>
        </is>
      </c>
      <c r="B49" s="49" t="inlineStr">
        <is>
          <t>車保険料</t>
        </is>
      </c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1" t="n">
        <v>80670</v>
      </c>
      <c r="W49" s="50" t="n"/>
      <c r="X49" s="50" t="n"/>
      <c r="Y49" s="50" t="n"/>
      <c r="Z49" s="50" t="n"/>
      <c r="AA49" s="50" t="n"/>
      <c r="AB49" s="52">
        <f>SUM(D49:AA49)</f>
        <v/>
      </c>
    </row>
    <row r="50" ht="14" customHeight="1">
      <c r="A50" s="19" t="inlineStr"/>
      <c r="B50" s="20" t="inlineStr">
        <is>
          <t>火災保険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2" t="n">
        <v>50380</v>
      </c>
      <c r="W50" s="21" t="n"/>
      <c r="X50" s="21" t="n"/>
      <c r="Y50" s="21" t="n"/>
      <c r="Z50" s="21" t="n"/>
      <c r="AA50" s="21" t="n"/>
      <c r="AB50" s="23">
        <f>SUM(D50:AA50)</f>
        <v/>
      </c>
    </row>
    <row r="51" ht="14" customHeight="1">
      <c r="A51" s="48" t="inlineStr">
        <is>
          <t>27日</t>
        </is>
      </c>
      <c r="B51" s="49" t="inlineStr">
        <is>
          <t>日本生命（自）</t>
        </is>
      </c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1" t="n">
        <v>38000</v>
      </c>
      <c r="W51" s="50" t="n"/>
      <c r="X51" s="50" t="n"/>
      <c r="Y51" s="50" t="n"/>
      <c r="Z51" s="50" t="n"/>
      <c r="AA51" s="50" t="n"/>
      <c r="AB51" s="52">
        <f>SUM(D51:AA51)</f>
        <v/>
      </c>
    </row>
    <row r="52" ht="14" customHeight="1">
      <c r="A52" s="19" t="inlineStr">
        <is>
          <t>4/26</t>
        </is>
      </c>
      <c r="B52" s="20" t="inlineStr">
        <is>
          <t>ギフシンBC（自）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2" t="n">
        <v>5400</v>
      </c>
      <c r="W52" s="21" t="n"/>
      <c r="X52" s="21" t="n"/>
      <c r="Y52" s="21" t="n"/>
      <c r="Z52" s="21" t="n"/>
      <c r="AA52" s="21" t="n"/>
      <c r="AB52" s="23">
        <f>SUM(D52:AA52)</f>
        <v/>
      </c>
    </row>
    <row r="53" ht="14" customHeight="1">
      <c r="A53" s="48" t="inlineStr">
        <is>
          <t>4/26</t>
        </is>
      </c>
      <c r="B53" s="49" t="inlineStr">
        <is>
          <t>リコー</t>
        </is>
      </c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1" t="n">
        <v>6600</v>
      </c>
      <c r="W53" s="50" t="n"/>
      <c r="X53" s="50" t="n"/>
      <c r="Y53" s="50" t="n"/>
      <c r="Z53" s="50" t="n"/>
      <c r="AA53" s="50" t="n"/>
      <c r="AB53" s="52">
        <f>SUM(D53:AA53)</f>
        <v/>
      </c>
    </row>
    <row r="54" ht="14" customHeight="1">
      <c r="A54" s="19" t="inlineStr">
        <is>
          <t>4/26</t>
        </is>
      </c>
      <c r="B54" s="20" t="inlineStr">
        <is>
          <t>ライフカード（自）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2" t="n">
        <v>3625</v>
      </c>
      <c r="W54" s="21" t="n"/>
      <c r="X54" s="21" t="n"/>
      <c r="Y54" s="21" t="n"/>
      <c r="Z54" s="21" t="n"/>
      <c r="AA54" s="21" t="n"/>
      <c r="AB54" s="23">
        <f>SUM(D54:AA54)</f>
        <v/>
      </c>
    </row>
    <row r="55" ht="14" customHeight="1">
      <c r="A55" s="48" t="inlineStr"/>
      <c r="B55" s="49" t="inlineStr">
        <is>
          <t>地代（自）</t>
        </is>
      </c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1" t="n">
        <v>1980000</v>
      </c>
      <c r="Y55" s="50" t="n"/>
      <c r="Z55" s="50" t="n"/>
      <c r="AA55" s="50" t="n"/>
      <c r="AB55" s="52">
        <f>SUM(D55:AA55)</f>
        <v/>
      </c>
    </row>
    <row r="56" ht="14" customHeight="1">
      <c r="A56" s="19" t="inlineStr"/>
      <c r="B56" s="20" t="inlineStr">
        <is>
          <t>固定資産税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2" t="n">
        <v>840000</v>
      </c>
      <c r="Y56" s="21" t="n"/>
      <c r="Z56" s="21" t="n"/>
      <c r="AA56" s="21" t="n"/>
      <c r="AB56" s="23">
        <f>SUM(D56:AA56)</f>
        <v/>
      </c>
    </row>
    <row r="57" ht="14" customHeight="1">
      <c r="A57" s="48" t="inlineStr"/>
      <c r="B57" s="49" t="inlineStr">
        <is>
          <t>社会保険料（自）</t>
        </is>
      </c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1" t="n">
        <v>512766</v>
      </c>
      <c r="Y57" s="50" t="n"/>
      <c r="Z57" s="50" t="n"/>
      <c r="AA57" s="50" t="n"/>
      <c r="AB57" s="52">
        <f>SUM(D57:AA57)</f>
        <v/>
      </c>
    </row>
    <row r="58" ht="14" customHeight="1">
      <c r="A58" s="19" t="inlineStr"/>
      <c r="B58" s="20" t="inlineStr">
        <is>
          <t>電気・ガス代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2" t="n">
        <v>44608</v>
      </c>
      <c r="X58" s="21" t="n"/>
      <c r="Y58" s="21" t="n"/>
      <c r="Z58" s="21" t="n"/>
      <c r="AA58" s="21" t="n"/>
      <c r="AB58" s="23">
        <f>SUM(D58:AA58)</f>
        <v/>
      </c>
    </row>
    <row r="59" ht="14" customHeight="1">
      <c r="A59" s="48" t="inlineStr"/>
      <c r="B59" s="49" t="inlineStr">
        <is>
          <t>納税</t>
        </is>
      </c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1" t="n">
        <v>1505508</v>
      </c>
      <c r="Y59" s="50" t="n"/>
      <c r="Z59" s="50" t="n"/>
      <c r="AA59" s="50" t="n"/>
      <c r="AB59" s="52">
        <f>SUM(D59:AA59)</f>
        <v/>
      </c>
    </row>
    <row r="60" ht="14" customHeight="1">
      <c r="A60" s="19" t="inlineStr"/>
      <c r="B60" s="20" t="inlineStr">
        <is>
          <t>その他①</t>
        </is>
      </c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3">
        <f>SUM(D60:AA60)</f>
        <v/>
      </c>
    </row>
    <row r="61" ht="14" customHeight="1">
      <c r="A61" s="48" t="inlineStr"/>
      <c r="B61" s="49" t="inlineStr">
        <is>
          <t>その他②</t>
        </is>
      </c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2">
        <f>SUM(D61:AA61)</f>
        <v/>
      </c>
    </row>
    <row r="62" ht="16" customHeight="1">
      <c r="A62" s="29" t="inlineStr">
        <is>
          <t>支　払　合　計</t>
        </is>
      </c>
      <c r="B62" s="21" t="n"/>
      <c r="C62" s="21" t="n"/>
      <c r="D62" s="30">
        <f>SUM(D6:D61)</f>
        <v/>
      </c>
      <c r="E62" s="30">
        <f>SUM(E6:E61)</f>
        <v/>
      </c>
      <c r="F62" s="30">
        <f>SUM(F6:F61)</f>
        <v/>
      </c>
      <c r="G62" s="30">
        <f>SUM(G6:G61)</f>
        <v/>
      </c>
      <c r="H62" s="30">
        <f>SUM(H6:H61)</f>
        <v/>
      </c>
      <c r="I62" s="30">
        <f>SUM(I6:I61)</f>
        <v/>
      </c>
      <c r="J62" s="30">
        <f>SUM(J6:J61)</f>
        <v/>
      </c>
      <c r="K62" s="30">
        <f>SUM(K6:K61)</f>
        <v/>
      </c>
      <c r="L62" s="30">
        <f>SUM(L6:L61)</f>
        <v/>
      </c>
      <c r="M62" s="30">
        <f>SUM(M6:M61)</f>
        <v/>
      </c>
      <c r="N62" s="30">
        <f>SUM(N6:N61)</f>
        <v/>
      </c>
      <c r="O62" s="30">
        <f>SUM(O6:O61)</f>
        <v/>
      </c>
      <c r="P62" s="30">
        <f>SUM(P6:P61)</f>
        <v/>
      </c>
      <c r="Q62" s="30">
        <f>SUM(Q6:Q61)</f>
        <v/>
      </c>
      <c r="R62" s="30">
        <f>SUM(R6:R61)</f>
        <v/>
      </c>
      <c r="S62" s="30">
        <f>SUM(S6:S61)</f>
        <v/>
      </c>
      <c r="T62" s="30">
        <f>SUM(T6:T61)</f>
        <v/>
      </c>
      <c r="U62" s="30">
        <f>SUM(U6:U61)</f>
        <v/>
      </c>
      <c r="V62" s="30">
        <f>SUM(V6:V61)</f>
        <v/>
      </c>
      <c r="W62" s="30">
        <f>SUM(W6:W61)</f>
        <v/>
      </c>
      <c r="X62" s="30">
        <f>SUM(X6:X61)</f>
        <v/>
      </c>
      <c r="Y62" s="30">
        <f>SUM(Y6:Y61)</f>
        <v/>
      </c>
      <c r="Z62" s="30">
        <f>SUM(Z6:Z61)</f>
        <v/>
      </c>
      <c r="AA62" s="30">
        <f>SUM(AA6:AA61)</f>
        <v/>
      </c>
      <c r="AB62" s="31">
        <f>SUM(D62:AA62)</f>
        <v/>
      </c>
    </row>
    <row r="63" ht="14" customHeight="1">
      <c r="A63" s="32" t="inlineStr">
        <is>
          <t>【 収　入 】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33" t="n"/>
    </row>
    <row r="64" ht="14" customHeight="1">
      <c r="A64" s="34" t="inlineStr">
        <is>
          <t>サイクルIP売上</t>
        </is>
      </c>
      <c r="B64" s="21" t="n"/>
      <c r="C64" s="21" t="n"/>
      <c r="D64" s="36" t="n"/>
      <c r="E64" s="35" t="n">
        <v>56720</v>
      </c>
      <c r="F64" s="36" t="n"/>
      <c r="G64" s="36" t="n"/>
      <c r="H64" s="36" t="n"/>
      <c r="I64" s="36" t="n"/>
      <c r="J64" s="35" t="n">
        <v>49647</v>
      </c>
      <c r="K64" s="35" t="n">
        <v>40000</v>
      </c>
      <c r="L64" s="35" t="n">
        <v>43720</v>
      </c>
      <c r="M64" s="36" t="n"/>
      <c r="N64" s="36" t="n"/>
      <c r="O64" s="35" t="n">
        <v>93499</v>
      </c>
      <c r="P64" s="36" t="n"/>
      <c r="Q64" s="36" t="n"/>
      <c r="R64" s="36" t="n"/>
      <c r="S64" s="36" t="n"/>
      <c r="T64" s="35" t="n">
        <v>67309</v>
      </c>
      <c r="U64" s="35" t="n">
        <v>261944</v>
      </c>
      <c r="V64" s="36" t="n"/>
      <c r="W64" s="36" t="n"/>
      <c r="X64" s="36" t="n"/>
      <c r="Y64" s="36" t="n"/>
      <c r="Z64" s="36" t="n"/>
      <c r="AA64" s="36" t="n"/>
      <c r="AB64" s="37">
        <f>SUM(D64:AA64)</f>
        <v/>
      </c>
    </row>
    <row r="65" ht="14" customHeight="1">
      <c r="A65" s="34" t="inlineStr">
        <is>
          <t>福　祉</t>
        </is>
      </c>
      <c r="B65" s="21" t="n"/>
      <c r="C65" s="21" t="n"/>
      <c r="D65" s="36" t="n"/>
      <c r="E65" s="36" t="n"/>
      <c r="F65" s="35" t="n">
        <v>136626</v>
      </c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5" t="n">
        <v>220000</v>
      </c>
      <c r="W65" s="35" t="n">
        <v>301344</v>
      </c>
      <c r="X65" s="36" t="n"/>
      <c r="Y65" s="36" t="n"/>
      <c r="Z65" s="36" t="n"/>
      <c r="AA65" s="36" t="n"/>
      <c r="AB65" s="37">
        <f>SUM(D65:AA65)</f>
        <v/>
      </c>
    </row>
    <row r="66" ht="14" customHeight="1">
      <c r="A66" s="34" t="inlineStr">
        <is>
          <t>その他入金</t>
        </is>
      </c>
      <c r="B66" s="21" t="n"/>
      <c r="C66" s="21" t="n"/>
      <c r="D66" s="36" t="n"/>
      <c r="E66" s="36" t="n"/>
      <c r="F66" s="36" t="n"/>
      <c r="G66" s="36" t="n"/>
      <c r="H66" s="36" t="n"/>
      <c r="I66" s="36" t="n"/>
      <c r="J66" s="36" t="n"/>
      <c r="K66" s="35" t="n">
        <v>440000</v>
      </c>
      <c r="L66" s="36" t="n"/>
      <c r="M66" s="35" t="n">
        <v>3000000</v>
      </c>
      <c r="N66" s="36" t="n"/>
      <c r="O66" s="36" t="n"/>
      <c r="P66" s="36" t="n"/>
      <c r="Q66" s="36" t="n"/>
      <c r="R66" s="36" t="n"/>
      <c r="S66" s="36" t="n"/>
      <c r="T66" s="36" t="n"/>
      <c r="U66" s="35" t="n">
        <v>97610</v>
      </c>
      <c r="V66" s="35" t="n">
        <v>327076</v>
      </c>
      <c r="W66" s="35" t="n">
        <v>3500000</v>
      </c>
      <c r="X66" s="35" t="n">
        <v>5000000</v>
      </c>
      <c r="Y66" s="36" t="n"/>
      <c r="Z66" s="36" t="n"/>
      <c r="AA66" s="36" t="n"/>
      <c r="AB66" s="37">
        <f>SUM(D66:AA66)</f>
        <v/>
      </c>
    </row>
    <row r="67" ht="14" customHeight="1">
      <c r="A67" s="34" t="inlineStr">
        <is>
          <t>その他①</t>
        </is>
      </c>
      <c r="B67" s="21" t="n"/>
      <c r="C67" s="21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7">
        <f>SUM(D67:AA67)</f>
        <v/>
      </c>
    </row>
    <row r="68" ht="14" customHeight="1">
      <c r="A68" s="34" t="inlineStr">
        <is>
          <t>その他②</t>
        </is>
      </c>
      <c r="B68" s="21" t="n"/>
      <c r="C68" s="21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7">
        <f>SUM(D68:AA68)</f>
        <v/>
      </c>
    </row>
    <row r="69" ht="16" customHeight="1">
      <c r="A69" s="38" t="inlineStr">
        <is>
          <t>収　入　合　計</t>
        </is>
      </c>
      <c r="B69" s="21" t="n"/>
      <c r="C69" s="21" t="n"/>
      <c r="D69" s="39">
        <f>SUM(D64:D68)</f>
        <v/>
      </c>
      <c r="E69" s="39">
        <f>SUM(E64:E68)</f>
        <v/>
      </c>
      <c r="F69" s="39">
        <f>SUM(F64:F68)</f>
        <v/>
      </c>
      <c r="G69" s="39">
        <f>SUM(G64:G68)</f>
        <v/>
      </c>
      <c r="H69" s="39">
        <f>SUM(H64:H68)</f>
        <v/>
      </c>
      <c r="I69" s="39">
        <f>SUM(I64:I68)</f>
        <v/>
      </c>
      <c r="J69" s="39">
        <f>SUM(J64:J68)</f>
        <v/>
      </c>
      <c r="K69" s="39">
        <f>SUM(K64:K68)</f>
        <v/>
      </c>
      <c r="L69" s="39">
        <f>SUM(L64:L68)</f>
        <v/>
      </c>
      <c r="M69" s="39">
        <f>SUM(M64:M68)</f>
        <v/>
      </c>
      <c r="N69" s="39">
        <f>SUM(N64:N68)</f>
        <v/>
      </c>
      <c r="O69" s="39">
        <f>SUM(O64:O68)</f>
        <v/>
      </c>
      <c r="P69" s="39">
        <f>SUM(P64:P68)</f>
        <v/>
      </c>
      <c r="Q69" s="39">
        <f>SUM(Q64:Q68)</f>
        <v/>
      </c>
      <c r="R69" s="39">
        <f>SUM(R64:R68)</f>
        <v/>
      </c>
      <c r="S69" s="39">
        <f>SUM(S64:S68)</f>
        <v/>
      </c>
      <c r="T69" s="39">
        <f>SUM(T64:T68)</f>
        <v/>
      </c>
      <c r="U69" s="39">
        <f>SUM(U64:U68)</f>
        <v/>
      </c>
      <c r="V69" s="39">
        <f>SUM(V64:V68)</f>
        <v/>
      </c>
      <c r="W69" s="39">
        <f>SUM(W64:W68)</f>
        <v/>
      </c>
      <c r="X69" s="39">
        <f>SUM(X64:X68)</f>
        <v/>
      </c>
      <c r="Y69" s="39">
        <f>SUM(Y64:Y68)</f>
        <v/>
      </c>
      <c r="Z69" s="39">
        <f>SUM(Z64:Z68)</f>
        <v/>
      </c>
      <c r="AA69" s="39">
        <f>SUM(AA64:AA68)</f>
        <v/>
      </c>
      <c r="AB69" s="40">
        <f>SUM(D69:AA69)</f>
        <v/>
      </c>
    </row>
    <row r="70" ht="22" customHeight="1">
      <c r="A70" s="41" t="inlineStr">
        <is>
          <t>残　　　高</t>
        </is>
      </c>
      <c r="B70" s="42" t="n"/>
      <c r="C70" s="42" t="n"/>
      <c r="D70" s="43">
        <f>IF(D3="","",$D$2+D69-D62)</f>
        <v/>
      </c>
      <c r="E70" s="43">
        <f>IF(E3="","",D70+E69-E62)</f>
        <v/>
      </c>
      <c r="F70" s="43">
        <f>IF(F3="","",E70+F69-F62)</f>
        <v/>
      </c>
      <c r="G70" s="43">
        <f>IF(G3="","",F70+G69-G62)</f>
        <v/>
      </c>
      <c r="H70" s="43">
        <f>IF(H3="","",G70+H69-H62)</f>
        <v/>
      </c>
      <c r="I70" s="43">
        <f>IF(I3="","",H70+I69-I62)</f>
        <v/>
      </c>
      <c r="J70" s="43">
        <f>IF(J3="","",I70+J69-J62)</f>
        <v/>
      </c>
      <c r="K70" s="43">
        <f>IF(K3="","",J70+K69-K62)</f>
        <v/>
      </c>
      <c r="L70" s="43">
        <f>IF(L3="","",K70+L69-L62)</f>
        <v/>
      </c>
      <c r="M70" s="43">
        <f>IF(M3="","",L70+M69-M62)</f>
        <v/>
      </c>
      <c r="N70" s="43">
        <f>IF(N3="","",M70+N69-N62)</f>
        <v/>
      </c>
      <c r="O70" s="43">
        <f>IF(O3="","",N70+O69-O62)</f>
        <v/>
      </c>
      <c r="P70" s="43">
        <f>IF(P3="","",O70+P69-P62)</f>
        <v/>
      </c>
      <c r="Q70" s="43">
        <f>IF(Q3="","",P70+Q69-Q62)</f>
        <v/>
      </c>
      <c r="R70" s="43">
        <f>IF(R3="","",Q70+R69-R62)</f>
        <v/>
      </c>
      <c r="S70" s="43">
        <f>IF(S3="","",R70+S69-S62)</f>
        <v/>
      </c>
      <c r="T70" s="43">
        <f>IF(T3="","",S70+T69-T62)</f>
        <v/>
      </c>
      <c r="U70" s="43">
        <f>IF(U3="","",T70+U69-U62)</f>
        <v/>
      </c>
      <c r="V70" s="43">
        <f>IF(V3="","",U70+V69-V62)</f>
        <v/>
      </c>
      <c r="W70" s="43">
        <f>IF(W3="","",V70+W69-W62)</f>
        <v/>
      </c>
      <c r="X70" s="43">
        <f>IF(X3="","",W70+X69-X62)</f>
        <v/>
      </c>
      <c r="Y70" s="43">
        <f>IF(Y3="","",X70+Y69-Y62)</f>
        <v/>
      </c>
      <c r="Z70" s="43">
        <f>IF(Z3="","",Y70+Z69-Z62)</f>
        <v/>
      </c>
      <c r="AA70" s="43">
        <f>IF(AA3="","",Z70+AA69-AA62)</f>
        <v/>
      </c>
      <c r="AB70" s="44">
        <f>IFERROR(LOOKUP(2,1/(D70:AA70&lt;&gt;""),D70:AA70),"")</f>
        <v/>
      </c>
    </row>
  </sheetData>
  <mergeCells count="13">
    <mergeCell ref="A68:C68"/>
    <mergeCell ref="A66:C66"/>
    <mergeCell ref="A63:AB63"/>
    <mergeCell ref="A5:AB5"/>
    <mergeCell ref="E2:AB2"/>
    <mergeCell ref="A67:C67"/>
    <mergeCell ref="A1:AB1"/>
    <mergeCell ref="A62:C62"/>
    <mergeCell ref="A70:C70"/>
    <mergeCell ref="A69:C69"/>
    <mergeCell ref="A65:C65"/>
    <mergeCell ref="A2:C2"/>
    <mergeCell ref="A64:C64"/>
  </mergeCells>
  <conditionalFormatting sqref="D4:AA4">
    <cfRule type="expression" priority="1" dxfId="0">
      <formula>=AND(D3&lt;&gt;"",COUNTIF(祝日!$A:$A,D3)&gt;0)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2026-04-20T02:38:08Z</dcterms:created>
  <dcterms:modified xmlns:dcterms="http://purl.org/dc/terms/" xmlns:xsi="http://www.w3.org/2001/XMLSchema-instance" xsi:type="dcterms:W3CDTF">2026-04-20T02:38:08Z</dcterms:modified>
</cp:coreProperties>
</file>