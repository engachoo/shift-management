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祝日" sheetId="2" state="hidden" r:id="rId2"/>
    <sheet xmlns:r="http://schemas.openxmlformats.org/officeDocument/2006/relationships" name="AMUSE" sheetId="3" state="visible" r:id="rId3"/>
    <sheet xmlns:r="http://schemas.openxmlformats.org/officeDocument/2006/relationships" name="大日産業" sheetId="4" state="visible" r:id="rId4"/>
  </sheets>
  <definedNames>
    <definedName name="_xlnm.Print_Titles" localSheetId="2">'AMUSE'!$1:$4</definedName>
    <definedName name="_xlnm.Print_Titles" localSheetId="3">'大日産業'!$1:$4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M/DD"/>
    <numFmt numFmtId="166" formatCode="m/d(aaa)"/>
    <numFmt numFmtId="167" formatCode="#,##0;(#,##0);&quot;-&quot;"/>
  </numFmts>
  <fonts count="21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1F4E79"/>
      <sz val="10"/>
    </font>
    <font>
      <name val="Arial"/>
      <b val="1"/>
      <sz val="10"/>
    </font>
    <font>
      <name val="Arial"/>
      <b val="1"/>
      <color rgb="000000FF"/>
      <sz val="11"/>
    </font>
    <font>
      <name val="Arial"/>
      <i val="1"/>
      <color rgb="00666666"/>
      <sz val="9"/>
    </font>
    <font>
      <name val="Arial"/>
      <i val="1"/>
      <color rgb="00CC0000"/>
      <sz val="9"/>
    </font>
    <font>
      <name val="Arial"/>
      <b val="1"/>
      <color rgb="00FFFFFF"/>
      <sz val="13"/>
    </font>
    <font>
      <name val="Arial"/>
      <b val="1"/>
      <color rgb="000000FF"/>
      <sz val="10"/>
    </font>
    <font>
      <name val="Arial"/>
      <i val="1"/>
      <color rgb="00888888"/>
      <sz val="8"/>
    </font>
    <font>
      <name val="Arial"/>
      <b val="1"/>
      <color rgb="00FFFFFF"/>
      <sz val="9"/>
    </font>
    <font>
      <name val="Arial"/>
      <b val="1"/>
      <color rgb="00FFDD00"/>
      <sz val="9"/>
    </font>
    <font>
      <name val="Arial"/>
      <b val="1"/>
      <sz val="8"/>
    </font>
    <font>
      <name val="Arial"/>
      <color rgb="00C00000"/>
      <sz val="8"/>
    </font>
    <font>
      <name val="Arial"/>
      <color rgb="000000FF"/>
      <sz val="9"/>
    </font>
    <font>
      <name val="Arial"/>
      <b val="1"/>
      <color rgb="000000FF"/>
      <sz val="9"/>
    </font>
    <font>
      <name val="Arial"/>
      <b val="1"/>
      <color rgb="00003366"/>
      <sz val="10"/>
    </font>
    <font>
      <name val="Arial"/>
      <b val="1"/>
      <color rgb="00003366"/>
      <sz val="9"/>
    </font>
    <font>
      <name val="Arial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DDEEFF"/>
      </patternFill>
    </fill>
    <fill>
      <patternFill patternType="solid">
        <fgColor rgb="00FCE4EC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375623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3" fontId="6" fillId="3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3" fontId="10" fillId="3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166" fontId="12" fillId="2" borderId="0" applyAlignment="1" pivotButton="0" quotePrefix="0" xfId="0">
      <alignment horizontal="center" vertical="center"/>
    </xf>
    <xf numFmtId="166" fontId="13" fillId="2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2" fillId="6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7" fontId="16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/>
    </xf>
    <xf numFmtId="167" fontId="1" fillId="8" borderId="0" applyAlignment="1" pivotButton="0" quotePrefix="0" xfId="0">
      <alignment horizontal="right" vertical="center"/>
    </xf>
    <xf numFmtId="0" fontId="12" fillId="9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1" fillId="11" borderId="0" applyAlignment="1" pivotButton="0" quotePrefix="0" xfId="0">
      <alignment horizontal="left" vertical="center"/>
    </xf>
    <xf numFmtId="167" fontId="17" fillId="11" borderId="0" applyAlignment="1" pivotButton="0" quotePrefix="0" xfId="0">
      <alignment horizontal="right" vertical="center"/>
    </xf>
    <xf numFmtId="0" fontId="0" fillId="11" borderId="0" pivotButton="0" quotePrefix="0" xfId="0"/>
    <xf numFmtId="167" fontId="1" fillId="11" borderId="0" applyAlignment="1" pivotButton="0" quotePrefix="0" xfId="0">
      <alignment horizontal="right" vertical="center"/>
    </xf>
    <xf numFmtId="0" fontId="1" fillId="12" borderId="0" applyAlignment="1" pivotButton="0" quotePrefix="0" xfId="0">
      <alignment horizontal="center" vertical="center"/>
    </xf>
    <xf numFmtId="167" fontId="1" fillId="12" borderId="0" applyAlignment="1" pivotButton="0" quotePrefix="0" xfId="0">
      <alignment horizontal="right" vertical="center"/>
    </xf>
    <xf numFmtId="0" fontId="18" fillId="4" borderId="0" applyAlignment="1" pivotButton="0" quotePrefix="0" xfId="0">
      <alignment horizontal="center" vertical="center"/>
    </xf>
    <xf numFmtId="167" fontId="19" fillId="4" borderId="0" applyAlignment="1" pivotButton="0" quotePrefix="0" xfId="0">
      <alignment horizontal="right" vertical="center"/>
    </xf>
    <xf numFmtId="167" fontId="20" fillId="13" borderId="0" applyAlignment="1" pivotButton="0" quotePrefix="0" xfId="0">
      <alignment horizontal="right" vertical="center"/>
    </xf>
    <xf numFmtId="0" fontId="9" fillId="14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center" vertical="center"/>
    </xf>
    <xf numFmtId="166" fontId="12" fillId="14" borderId="0" applyAlignment="1" pivotButton="0" quotePrefix="0" xfId="0">
      <alignment horizontal="center" vertical="center"/>
    </xf>
    <xf numFmtId="166" fontId="13" fillId="14" borderId="0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name val="Arial"/>
        <b val="1"/>
        <color rgb="00FF0000"/>
        <sz val="9"/>
      </font>
    </dxf>
    <dxf>
      <font>
        <name val="Arial"/>
        <b val="1"/>
        <color rgb="00FF0000"/>
        <sz val="8"/>
      </font>
    </dxf>
    <dxf>
      <fill>
        <patternFill patternType="solid">
          <fgColor rgb="00EBF5FB"/>
        </patternFill>
      </fill>
    </dxf>
    <dxf>
      <fill>
        <patternFill patternType="solid">
          <fgColor rgb="00FEFDE7"/>
        </patternFill>
      </fill>
    </dxf>
    <dxf>
      <fill>
        <patternFill patternType="solid">
          <fgColor rgb="00EAFAF1"/>
        </patternFill>
      </fill>
    </dxf>
    <dxf>
      <fill>
        <patternFill patternType="solid">
          <fgColor rgb="00FDF2F8"/>
        </patternFill>
      </fill>
    </dxf>
    <dxf>
      <fill>
        <patternFill patternType="solid">
          <fgColor rgb="00FEF5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</cols>
  <sheetData>
    <row r="1" ht="28" customHeight="1">
      <c r="A1" s="1" t="inlineStr">
        <is>
          <t>週間資金繰表　設定</t>
        </is>
      </c>
    </row>
    <row r="3" ht="20" customHeight="1">
      <c r="A3" s="2" t="inlineStr">
        <is>
          <t>■ 対象年月</t>
        </is>
      </c>
    </row>
    <row r="4" ht="22" customHeight="1">
      <c r="A4" s="3" t="inlineStr">
        <is>
          <t>西　暦（年）</t>
        </is>
      </c>
      <c r="B4" s="4" t="n">
        <v>2026</v>
      </c>
      <c r="C4" s="5" t="inlineStr">
        <is>
          <t>← 4桁で入力</t>
        </is>
      </c>
    </row>
    <row r="5" ht="22" customHeight="1">
      <c r="A5" s="3" t="inlineStr">
        <is>
          <t>月</t>
        </is>
      </c>
      <c r="B5" s="4" t="n">
        <v>4</v>
      </c>
      <c r="C5" s="5" t="inlineStr">
        <is>
          <t>← 1〜12で入力</t>
        </is>
      </c>
    </row>
    <row r="7" ht="20" customHeight="1">
      <c r="A7" s="2" t="inlineStr">
        <is>
          <t>■ 前月末残高</t>
        </is>
      </c>
    </row>
    <row r="8" ht="22" customHeight="1">
      <c r="A8" s="3" t="inlineStr">
        <is>
          <t>AMUSE　前月末残</t>
        </is>
      </c>
      <c r="B8" s="4" t="n">
        <v>2186099</v>
      </c>
      <c r="C8" s="5" t="inlineStr">
        <is>
          <t>← 金額を入力（円）</t>
        </is>
      </c>
    </row>
    <row r="9" ht="22" customHeight="1">
      <c r="A9" s="3" t="inlineStr">
        <is>
          <t>大日産業　前月末残</t>
        </is>
      </c>
      <c r="B9" s="4" t="n">
        <v>5083029</v>
      </c>
      <c r="C9" s="5" t="inlineStr">
        <is>
          <t>← 金額を入力（円）</t>
        </is>
      </c>
    </row>
    <row r="11">
      <c r="A11" s="6" t="inlineStr">
        <is>
          <t>※ 年・月・前月末残を変更すると、各シートの日付・残高が自動更新されます。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7" t="inlineStr">
        <is>
          <t>日付</t>
        </is>
      </c>
      <c r="B1" s="7" t="inlineStr">
        <is>
          <t>祝日名</t>
        </is>
      </c>
    </row>
    <row r="2">
      <c r="A2" s="8" t="n">
        <v>45658</v>
      </c>
      <c r="B2" s="9" t="inlineStr">
        <is>
          <t>元日</t>
        </is>
      </c>
    </row>
    <row r="3">
      <c r="A3" s="8" t="n">
        <v>45670</v>
      </c>
      <c r="B3" s="9" t="inlineStr">
        <is>
          <t>成人の日</t>
        </is>
      </c>
    </row>
    <row r="4">
      <c r="A4" s="8" t="n">
        <v>45699</v>
      </c>
      <c r="B4" s="9" t="inlineStr">
        <is>
          <t>建国記念の日</t>
        </is>
      </c>
    </row>
    <row r="5">
      <c r="A5" s="8" t="n">
        <v>45711</v>
      </c>
      <c r="B5" s="9" t="inlineStr">
        <is>
          <t>天皇誕生日</t>
        </is>
      </c>
    </row>
    <row r="6">
      <c r="A6" s="8" t="n">
        <v>45712</v>
      </c>
      <c r="B6" s="9" t="inlineStr">
        <is>
          <t>振替休日</t>
        </is>
      </c>
    </row>
    <row r="7">
      <c r="A7" s="8" t="n">
        <v>45736</v>
      </c>
      <c r="B7" s="9" t="inlineStr">
        <is>
          <t>春分の日</t>
        </is>
      </c>
    </row>
    <row r="8">
      <c r="A8" s="8" t="n">
        <v>45776</v>
      </c>
      <c r="B8" s="9" t="inlineStr">
        <is>
          <t>昭和の日</t>
        </is>
      </c>
    </row>
    <row r="9">
      <c r="A9" s="8" t="n">
        <v>45780</v>
      </c>
      <c r="B9" s="9" t="inlineStr">
        <is>
          <t>憲法記念日</t>
        </is>
      </c>
    </row>
    <row r="10">
      <c r="A10" s="8" t="n">
        <v>45781</v>
      </c>
      <c r="B10" s="9" t="inlineStr">
        <is>
          <t>みどりの日</t>
        </is>
      </c>
    </row>
    <row r="11">
      <c r="A11" s="8" t="n">
        <v>45782</v>
      </c>
      <c r="B11" s="9" t="inlineStr">
        <is>
          <t>こどもの日</t>
        </is>
      </c>
    </row>
    <row r="12">
      <c r="A12" s="8" t="n">
        <v>45783</v>
      </c>
      <c r="B12" s="9" t="inlineStr">
        <is>
          <t>振替休日</t>
        </is>
      </c>
    </row>
    <row r="13">
      <c r="A13" s="8" t="n">
        <v>45859</v>
      </c>
      <c r="B13" s="9" t="inlineStr">
        <is>
          <t>海の日</t>
        </is>
      </c>
    </row>
    <row r="14">
      <c r="A14" s="8" t="n">
        <v>45880</v>
      </c>
      <c r="B14" s="9" t="inlineStr">
        <is>
          <t>山の日</t>
        </is>
      </c>
    </row>
    <row r="15">
      <c r="A15" s="8" t="n">
        <v>45915</v>
      </c>
      <c r="B15" s="9" t="inlineStr">
        <is>
          <t>敬老の日</t>
        </is>
      </c>
    </row>
    <row r="16">
      <c r="A16" s="8" t="n">
        <v>45923</v>
      </c>
      <c r="B16" s="9" t="inlineStr">
        <is>
          <t>秋分の日</t>
        </is>
      </c>
    </row>
    <row r="17">
      <c r="A17" s="8" t="n">
        <v>45943</v>
      </c>
      <c r="B17" s="9" t="inlineStr">
        <is>
          <t>スポーツの日</t>
        </is>
      </c>
    </row>
    <row r="18">
      <c r="A18" s="8" t="n">
        <v>45964</v>
      </c>
      <c r="B18" s="9" t="inlineStr">
        <is>
          <t>文化の日</t>
        </is>
      </c>
    </row>
    <row r="19">
      <c r="A19" s="8" t="n">
        <v>45984</v>
      </c>
      <c r="B19" s="9" t="inlineStr">
        <is>
          <t>勤労感謝の日</t>
        </is>
      </c>
    </row>
    <row r="20">
      <c r="A20" s="8" t="n">
        <v>45985</v>
      </c>
      <c r="B20" s="9" t="inlineStr">
        <is>
          <t>振替休日</t>
        </is>
      </c>
    </row>
    <row r="21">
      <c r="A21" s="8" t="n">
        <v>46023</v>
      </c>
      <c r="B21" s="9" t="inlineStr">
        <is>
          <t>元日</t>
        </is>
      </c>
    </row>
    <row r="22">
      <c r="A22" s="8" t="n">
        <v>46034</v>
      </c>
      <c r="B22" s="9" t="inlineStr">
        <is>
          <t>成人の日</t>
        </is>
      </c>
    </row>
    <row r="23">
      <c r="A23" s="8" t="n">
        <v>46064</v>
      </c>
      <c r="B23" s="9" t="inlineStr">
        <is>
          <t>建国記念の日</t>
        </is>
      </c>
    </row>
    <row r="24">
      <c r="A24" s="8" t="n">
        <v>46076</v>
      </c>
      <c r="B24" s="9" t="inlineStr">
        <is>
          <t>天皇誕生日</t>
        </is>
      </c>
    </row>
    <row r="25">
      <c r="A25" s="8" t="n">
        <v>46101</v>
      </c>
      <c r="B25" s="9" t="inlineStr">
        <is>
          <t>春分の日</t>
        </is>
      </c>
    </row>
    <row r="26">
      <c r="A26" s="8" t="n">
        <v>46141</v>
      </c>
      <c r="B26" s="9" t="inlineStr">
        <is>
          <t>昭和の日</t>
        </is>
      </c>
    </row>
    <row r="27">
      <c r="A27" s="8" t="n">
        <v>46145</v>
      </c>
      <c r="B27" s="9" t="inlineStr">
        <is>
          <t>憲法記念日</t>
        </is>
      </c>
    </row>
    <row r="28">
      <c r="A28" s="8" t="n">
        <v>46146</v>
      </c>
      <c r="B28" s="9" t="inlineStr">
        <is>
          <t>みどりの日</t>
        </is>
      </c>
    </row>
    <row r="29">
      <c r="A29" s="8" t="n">
        <v>46147</v>
      </c>
      <c r="B29" s="9" t="inlineStr">
        <is>
          <t>こどもの日</t>
        </is>
      </c>
    </row>
    <row r="30">
      <c r="A30" s="8" t="n">
        <v>46148</v>
      </c>
      <c r="B30" s="9" t="inlineStr">
        <is>
          <t>振替休日</t>
        </is>
      </c>
    </row>
    <row r="31">
      <c r="A31" s="8" t="n">
        <v>46223</v>
      </c>
      <c r="B31" s="9" t="inlineStr">
        <is>
          <t>海の日</t>
        </is>
      </c>
    </row>
    <row r="32">
      <c r="A32" s="8" t="n">
        <v>46245</v>
      </c>
      <c r="B32" s="9" t="inlineStr">
        <is>
          <t>山の日</t>
        </is>
      </c>
    </row>
    <row r="33">
      <c r="A33" s="8" t="n">
        <v>46286</v>
      </c>
      <c r="B33" s="9" t="inlineStr">
        <is>
          <t>敬老の日</t>
        </is>
      </c>
    </row>
    <row r="34">
      <c r="A34" s="8" t="n">
        <v>46288</v>
      </c>
      <c r="B34" s="9" t="inlineStr">
        <is>
          <t>秋分の日</t>
        </is>
      </c>
    </row>
    <row r="35">
      <c r="A35" s="8" t="n">
        <v>46307</v>
      </c>
      <c r="B35" s="9" t="inlineStr">
        <is>
          <t>スポーツの日</t>
        </is>
      </c>
    </row>
    <row r="36">
      <c r="A36" s="8" t="n">
        <v>46329</v>
      </c>
      <c r="B36" s="9" t="inlineStr">
        <is>
          <t>文化の日</t>
        </is>
      </c>
    </row>
    <row r="37">
      <c r="A37" s="8" t="n">
        <v>46349</v>
      </c>
      <c r="B37" s="9" t="inlineStr">
        <is>
          <t>勤労感謝の日</t>
        </is>
      </c>
    </row>
    <row r="38">
      <c r="A38" s="8" t="n">
        <v>46388</v>
      </c>
      <c r="B38" s="9" t="inlineStr">
        <is>
          <t>元日</t>
        </is>
      </c>
    </row>
    <row r="39">
      <c r="A39" s="8" t="n">
        <v>46398</v>
      </c>
      <c r="B39" s="9" t="inlineStr">
        <is>
          <t>成人の日</t>
        </is>
      </c>
    </row>
    <row r="40">
      <c r="A40" s="8" t="n">
        <v>46429</v>
      </c>
      <c r="B40" s="9" t="inlineStr">
        <is>
          <t>建国記念の日</t>
        </is>
      </c>
    </row>
    <row r="41">
      <c r="A41" s="8" t="n">
        <v>46441</v>
      </c>
      <c r="B41" s="9" t="inlineStr">
        <is>
          <t>天皇誕生日</t>
        </is>
      </c>
    </row>
    <row r="42">
      <c r="A42" s="8" t="n">
        <v>46468</v>
      </c>
      <c r="B42" s="9" t="inlineStr">
        <is>
          <t>春分の日</t>
        </is>
      </c>
    </row>
    <row r="43">
      <c r="A43" s="8" t="n">
        <v>46506</v>
      </c>
      <c r="B43" s="9" t="inlineStr">
        <is>
          <t>昭和の日</t>
        </is>
      </c>
    </row>
    <row r="44">
      <c r="A44" s="8" t="n">
        <v>46510</v>
      </c>
      <c r="B44" s="9" t="inlineStr">
        <is>
          <t>憲法記念日</t>
        </is>
      </c>
    </row>
    <row r="45">
      <c r="A45" s="8" t="n">
        <v>46511</v>
      </c>
      <c r="B45" s="9" t="inlineStr">
        <is>
          <t>みどりの日</t>
        </is>
      </c>
    </row>
    <row r="46">
      <c r="A46" s="8" t="n">
        <v>46512</v>
      </c>
      <c r="B46" s="9" t="inlineStr">
        <is>
          <t>こどもの日</t>
        </is>
      </c>
    </row>
    <row r="47">
      <c r="A47" s="8" t="n">
        <v>46587</v>
      </c>
      <c r="B47" s="9" t="inlineStr">
        <is>
          <t>海の日</t>
        </is>
      </c>
    </row>
    <row r="48">
      <c r="A48" s="8" t="n">
        <v>46610</v>
      </c>
      <c r="B48" s="9" t="inlineStr">
        <is>
          <t>山の日</t>
        </is>
      </c>
    </row>
    <row r="49">
      <c r="A49" s="8" t="n">
        <v>46650</v>
      </c>
      <c r="B49" s="9" t="inlineStr">
        <is>
          <t>敬老の日</t>
        </is>
      </c>
    </row>
    <row r="50">
      <c r="A50" s="8" t="n">
        <v>46653</v>
      </c>
      <c r="B50" s="9" t="inlineStr">
        <is>
          <t>秋分の日</t>
        </is>
      </c>
    </row>
    <row r="51">
      <c r="A51" s="8" t="n">
        <v>46671</v>
      </c>
      <c r="B51" s="9" t="inlineStr">
        <is>
          <t>スポーツの日</t>
        </is>
      </c>
    </row>
    <row r="52">
      <c r="A52" s="8" t="n">
        <v>46694</v>
      </c>
      <c r="B52" s="9" t="inlineStr">
        <is>
          <t>文化の日</t>
        </is>
      </c>
    </row>
    <row r="53">
      <c r="A53" s="8" t="n">
        <v>46714</v>
      </c>
      <c r="B53" s="9" t="inlineStr">
        <is>
          <t>勤労感謝の日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5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13" customWidth="1" min="28" max="28"/>
  </cols>
  <sheetData>
    <row r="1" ht="26" customHeight="1">
      <c r="A1" s="10">
        <f>"週間資金繰表　令和"&amp;(設定!B4-2018)&amp;"年"&amp;設定!B5&amp;"月　AMUSE（岐信当座）"</f>
        <v/>
      </c>
    </row>
    <row r="2" ht="18" customHeight="1">
      <c r="A2" s="11" t="inlineStr">
        <is>
          <t>前 月 末 残</t>
        </is>
      </c>
      <c r="D2" s="12">
        <f>設定!$B$8</f>
        <v/>
      </c>
      <c r="E2" s="13" t="inlineStr">
        <is>
          <t>← 設定シートで変更できます</t>
        </is>
      </c>
    </row>
    <row r="3" ht="20" customHeight="1">
      <c r="A3" s="14" t="inlineStr">
        <is>
          <t>引落日等</t>
        </is>
      </c>
      <c r="B3" s="14" t="inlineStr">
        <is>
          <t>支　払　項　目</t>
        </is>
      </c>
      <c r="C3" s="14" t="n"/>
      <c r="D3" s="15">
        <f>IFERROR(WORKDAY(DATE(設定!$B$4,設定!$B$5,1)-1,1,祝日!$A$2:$A$200),"")</f>
        <v/>
      </c>
      <c r="E3" s="15">
        <f>IF(OR(D3="",D3&gt;=EOMONTH(D3,0)),"",IFERROR(IF(WORKDAY(D3,1,祝日!$A$2:$A$200)&gt;EOMONTH(D3,0),"",WORKDAY(D3,1,祝日!$A$2:$A$200)),""))</f>
        <v/>
      </c>
      <c r="F3" s="15">
        <f>IF(OR(E3="",E3&gt;=EOMONTH(D3,0)),"",IFERROR(IF(WORKDAY(E3,1,祝日!$A$2:$A$200)&gt;EOMONTH(D3,0),"",WORKDAY(E3,1,祝日!$A$2:$A$200)),""))</f>
        <v/>
      </c>
      <c r="G3" s="15">
        <f>IF(OR(F3="",F3&gt;=EOMONTH(D3,0)),"",IFERROR(IF(WORKDAY(F3,1,祝日!$A$2:$A$200)&gt;EOMONTH(D3,0),"",WORKDAY(F3,1,祝日!$A$2:$A$200)),""))</f>
        <v/>
      </c>
      <c r="H3" s="15">
        <f>IF(OR(G3="",G3&gt;=EOMONTH(D3,0)),"",IFERROR(IF(WORKDAY(G3,1,祝日!$A$2:$A$200)&gt;EOMONTH(D3,0),"",WORKDAY(G3,1,祝日!$A$2:$A$200)),""))</f>
        <v/>
      </c>
      <c r="I3" s="15">
        <f>IF(OR(H3="",H3&gt;=EOMONTH(D3,0)),"",IFERROR(IF(WORKDAY(H3,1,祝日!$A$2:$A$200)&gt;EOMONTH(D3,0),"",WORKDAY(H3,1,祝日!$A$2:$A$200)),""))</f>
        <v/>
      </c>
      <c r="J3" s="15">
        <f>IF(OR(I3="",I3&gt;=EOMONTH(D3,0)),"",IFERROR(IF(WORKDAY(I3,1,祝日!$A$2:$A$200)&gt;EOMONTH(D3,0),"",WORKDAY(I3,1,祝日!$A$2:$A$200)),""))</f>
        <v/>
      </c>
      <c r="K3" s="15">
        <f>IF(OR(J3="",J3&gt;=EOMONTH(D3,0)),"",IFERROR(IF(WORKDAY(J3,1,祝日!$A$2:$A$200)&gt;EOMONTH(D3,0),"",WORKDAY(J3,1,祝日!$A$2:$A$200)),""))</f>
        <v/>
      </c>
      <c r="L3" s="15">
        <f>IF(OR(K3="",K3&gt;=EOMONTH(D3,0)),"",IFERROR(IF(WORKDAY(K3,1,祝日!$A$2:$A$200)&gt;EOMONTH(D3,0),"",WORKDAY(K3,1,祝日!$A$2:$A$200)),""))</f>
        <v/>
      </c>
      <c r="M3" s="15">
        <f>IF(OR(L3="",L3&gt;=EOMONTH(D3,0)),"",IFERROR(IF(WORKDAY(L3,1,祝日!$A$2:$A$200)&gt;EOMONTH(D3,0),"",WORKDAY(L3,1,祝日!$A$2:$A$200)),""))</f>
        <v/>
      </c>
      <c r="N3" s="15">
        <f>IF(OR(M3="",M3&gt;=EOMONTH(D3,0)),"",IFERROR(IF(WORKDAY(M3,1,祝日!$A$2:$A$200)&gt;EOMONTH(D3,0),"",WORKDAY(M3,1,祝日!$A$2:$A$200)),""))</f>
        <v/>
      </c>
      <c r="O3" s="15">
        <f>IF(OR(N3="",N3&gt;=EOMONTH(D3,0)),"",IFERROR(IF(WORKDAY(N3,1,祝日!$A$2:$A$200)&gt;EOMONTH(D3,0),"",WORKDAY(N3,1,祝日!$A$2:$A$200)),""))</f>
        <v/>
      </c>
      <c r="P3" s="15">
        <f>IF(OR(O3="",O3&gt;=EOMONTH(D3,0)),"",IFERROR(IF(WORKDAY(O3,1,祝日!$A$2:$A$200)&gt;EOMONTH(D3,0),"",WORKDAY(O3,1,祝日!$A$2:$A$200)),""))</f>
        <v/>
      </c>
      <c r="Q3" s="15">
        <f>IF(OR(P3="",P3&gt;=EOMONTH(D3,0)),"",IFERROR(IF(WORKDAY(P3,1,祝日!$A$2:$A$200)&gt;EOMONTH(D3,0),"",WORKDAY(P3,1,祝日!$A$2:$A$200)),""))</f>
        <v/>
      </c>
      <c r="R3" s="15">
        <f>IF(OR(Q3="",Q3&gt;=EOMONTH(D3,0)),"",IFERROR(IF(WORKDAY(Q3,1,祝日!$A$2:$A$200)&gt;EOMONTH(D3,0),"",WORKDAY(Q3,1,祝日!$A$2:$A$200)),""))</f>
        <v/>
      </c>
      <c r="S3" s="15">
        <f>IF(OR(R3="",R3&gt;=EOMONTH(D3,0)),"",IFERROR(IF(WORKDAY(R3,1,祝日!$A$2:$A$200)&gt;EOMONTH(D3,0),"",WORKDAY(R3,1,祝日!$A$2:$A$200)),""))</f>
        <v/>
      </c>
      <c r="T3" s="15">
        <f>IF(OR(S3="",S3&gt;=EOMONTH(D3,0)),"",IFERROR(IF(WORKDAY(S3,1,祝日!$A$2:$A$200)&gt;EOMONTH(D3,0),"",WORKDAY(S3,1,祝日!$A$2:$A$200)),""))</f>
        <v/>
      </c>
      <c r="U3" s="15">
        <f>IF(OR(T3="",T3&gt;=EOMONTH(D3,0)),"",IFERROR(IF(WORKDAY(T3,1,祝日!$A$2:$A$200)&gt;EOMONTH(D3,0),"",WORKDAY(T3,1,祝日!$A$2:$A$200)),""))</f>
        <v/>
      </c>
      <c r="V3" s="15">
        <f>IF(OR(U3="",U3&gt;=EOMONTH(D3,0)),"",IFERROR(IF(WORKDAY(U3,1,祝日!$A$2:$A$200)&gt;EOMONTH(D3,0),"",WORKDAY(U3,1,祝日!$A$2:$A$200)),""))</f>
        <v/>
      </c>
      <c r="W3" s="15">
        <f>IF(OR(V3="",V3&gt;=EOMONTH(D3,0)),"",IFERROR(IF(WORKDAY(V3,1,祝日!$A$2:$A$200)&gt;EOMONTH(D3,0),"",WORKDAY(V3,1,祝日!$A$2:$A$200)),""))</f>
        <v/>
      </c>
      <c r="X3" s="15">
        <f>IF(OR(W3="",W3&gt;=EOMONTH(D3,0)),"",IFERROR(IF(WORKDAY(W3,1,祝日!$A$2:$A$200)&gt;EOMONTH(D3,0),"",WORKDAY(W3,1,祝日!$A$2:$A$200)),""))</f>
        <v/>
      </c>
      <c r="Y3" s="15">
        <f>IF(OR(X3="",X3&gt;=EOMONTH(D3,0)),"",IFERROR(IF(WORKDAY(X3,1,祝日!$A$2:$A$200)&gt;EOMONTH(D3,0),"",WORKDAY(X3,1,祝日!$A$2:$A$200)),""))</f>
        <v/>
      </c>
      <c r="Z3" s="15">
        <f>IF(OR(Y3="",Y3&gt;=EOMONTH(D3,0)),"",IFERROR(IF(WORKDAY(Y3,1,祝日!$A$2:$A$200)&gt;EOMONTH(D3,0),"",WORKDAY(Y3,1,祝日!$A$2:$A$200)),""))</f>
        <v/>
      </c>
      <c r="AA3" s="16">
        <f>IF(D3="","",IF(WORKDAY(EOMONTH(D3,0)-1,1,祝日!$A$2:$A$200)=EOMONTH(D3,0),"",WORKDAY(EOMONTH(D3,0),1,祝日!$A$2:$A$200)))</f>
        <v/>
      </c>
      <c r="AB3" s="14" t="inlineStr">
        <is>
          <t>月　計</t>
        </is>
      </c>
    </row>
    <row r="4" ht="13" customHeight="1">
      <c r="A4" s="17" t="inlineStr">
        <is>
          <t>祝　日</t>
        </is>
      </c>
      <c r="D4" s="18">
        <f>IFERROR(IF(D3="","",INDEX(祝日!$B$2:$B$200,MATCH(D3,祝日!$A$2:$A$200,0)))," ")</f>
        <v/>
      </c>
      <c r="E4" s="18">
        <f>IFERROR(IF(E3="","",INDEX(祝日!$B$2:$B$200,MATCH(E3,祝日!$A$2:$A$200,0)))," ")</f>
        <v/>
      </c>
      <c r="F4" s="18">
        <f>IFERROR(IF(F3="","",INDEX(祝日!$B$2:$B$200,MATCH(F3,祝日!$A$2:$A$200,0)))," ")</f>
        <v/>
      </c>
      <c r="G4" s="18">
        <f>IFERROR(IF(G3="","",INDEX(祝日!$B$2:$B$200,MATCH(G3,祝日!$A$2:$A$200,0)))," ")</f>
        <v/>
      </c>
      <c r="H4" s="18">
        <f>IFERROR(IF(H3="","",INDEX(祝日!$B$2:$B$200,MATCH(H3,祝日!$A$2:$A$200,0)))," ")</f>
        <v/>
      </c>
      <c r="I4" s="18">
        <f>IFERROR(IF(I3="","",INDEX(祝日!$B$2:$B$200,MATCH(I3,祝日!$A$2:$A$200,0)))," ")</f>
        <v/>
      </c>
      <c r="J4" s="18">
        <f>IFERROR(IF(J3="","",INDEX(祝日!$B$2:$B$200,MATCH(J3,祝日!$A$2:$A$200,0)))," ")</f>
        <v/>
      </c>
      <c r="K4" s="18">
        <f>IFERROR(IF(K3="","",INDEX(祝日!$B$2:$B$200,MATCH(K3,祝日!$A$2:$A$200,0)))," ")</f>
        <v/>
      </c>
      <c r="L4" s="18">
        <f>IFERROR(IF(L3="","",INDEX(祝日!$B$2:$B$200,MATCH(L3,祝日!$A$2:$A$200,0)))," ")</f>
        <v/>
      </c>
      <c r="M4" s="18">
        <f>IFERROR(IF(M3="","",INDEX(祝日!$B$2:$B$200,MATCH(M3,祝日!$A$2:$A$200,0)))," ")</f>
        <v/>
      </c>
      <c r="N4" s="18">
        <f>IFERROR(IF(N3="","",INDEX(祝日!$B$2:$B$200,MATCH(N3,祝日!$A$2:$A$200,0)))," ")</f>
        <v/>
      </c>
      <c r="O4" s="18">
        <f>IFERROR(IF(O3="","",INDEX(祝日!$B$2:$B$200,MATCH(O3,祝日!$A$2:$A$200,0)))," ")</f>
        <v/>
      </c>
      <c r="P4" s="18">
        <f>IFERROR(IF(P3="","",INDEX(祝日!$B$2:$B$200,MATCH(P3,祝日!$A$2:$A$200,0)))," ")</f>
        <v/>
      </c>
      <c r="Q4" s="18">
        <f>IFERROR(IF(Q3="","",INDEX(祝日!$B$2:$B$200,MATCH(Q3,祝日!$A$2:$A$200,0)))," ")</f>
        <v/>
      </c>
      <c r="R4" s="18">
        <f>IFERROR(IF(R3="","",INDEX(祝日!$B$2:$B$200,MATCH(R3,祝日!$A$2:$A$200,0)))," ")</f>
        <v/>
      </c>
      <c r="S4" s="18">
        <f>IFERROR(IF(S3="","",INDEX(祝日!$B$2:$B$200,MATCH(S3,祝日!$A$2:$A$200,0)))," ")</f>
        <v/>
      </c>
      <c r="T4" s="18">
        <f>IFERROR(IF(T3="","",INDEX(祝日!$B$2:$B$200,MATCH(T3,祝日!$A$2:$A$200,0)))," ")</f>
        <v/>
      </c>
      <c r="U4" s="18">
        <f>IFERROR(IF(U3="","",INDEX(祝日!$B$2:$B$200,MATCH(U3,祝日!$A$2:$A$200,0)))," ")</f>
        <v/>
      </c>
      <c r="V4" s="18">
        <f>IFERROR(IF(V3="","",INDEX(祝日!$B$2:$B$200,MATCH(V3,祝日!$A$2:$A$200,0)))," ")</f>
        <v/>
      </c>
      <c r="W4" s="18">
        <f>IFERROR(IF(W3="","",INDEX(祝日!$B$2:$B$200,MATCH(W3,祝日!$A$2:$A$200,0)))," ")</f>
        <v/>
      </c>
      <c r="X4" s="18">
        <f>IFERROR(IF(X3="","",INDEX(祝日!$B$2:$B$200,MATCH(X3,祝日!$A$2:$A$200,0)))," ")</f>
        <v/>
      </c>
      <c r="Y4" s="18">
        <f>IFERROR(IF(Y3="","",INDEX(祝日!$B$2:$B$200,MATCH(Y3,祝日!$A$2:$A$200,0)))," ")</f>
        <v/>
      </c>
      <c r="Z4" s="18">
        <f>IFERROR(IF(Z3="","",INDEX(祝日!$B$2:$B$200,MATCH(Z3,祝日!$A$2:$A$200,0)))," ")</f>
        <v/>
      </c>
      <c r="AA4" s="18">
        <f>IFERROR(IF(AA3="","",INDEX(祝日!$B$2:$B$200,MATCH(AA3,祝日!$A$2:$A$200,0)))," ")</f>
        <v/>
      </c>
      <c r="AB4" s="19" t="n"/>
    </row>
    <row r="5" ht="14" customHeight="1">
      <c r="A5" s="20" t="inlineStr">
        <is>
          <t>【 支　出 】</t>
        </is>
      </c>
    </row>
    <row r="6" ht="15" customHeight="1">
      <c r="A6" s="21" t="inlineStr">
        <is>
          <t>日　付</t>
        </is>
      </c>
      <c r="D6" s="21">
        <f>IF(D3="","",TEXT(D3,"m/d(aaa)"))</f>
        <v/>
      </c>
      <c r="E6" s="21">
        <f>IF(E3="","",TEXT(E3,"m/d(aaa)"))</f>
        <v/>
      </c>
      <c r="F6" s="21">
        <f>IF(F3="","",TEXT(F3,"m/d(aaa)"))</f>
        <v/>
      </c>
      <c r="G6" s="21">
        <f>IF(G3="","",TEXT(G3,"m/d(aaa)"))</f>
        <v/>
      </c>
      <c r="H6" s="21">
        <f>IF(H3="","",TEXT(H3,"m/d(aaa)"))</f>
        <v/>
      </c>
      <c r="I6" s="21">
        <f>IF(I3="","",TEXT(I3,"m/d(aaa)"))</f>
        <v/>
      </c>
      <c r="J6" s="21">
        <f>IF(J3="","",TEXT(J3,"m/d(aaa)"))</f>
        <v/>
      </c>
      <c r="K6" s="21">
        <f>IF(K3="","",TEXT(K3,"m/d(aaa)"))</f>
        <v/>
      </c>
      <c r="L6" s="21">
        <f>IF(L3="","",TEXT(L3,"m/d(aaa)"))</f>
        <v/>
      </c>
      <c r="M6" s="21">
        <f>IF(M3="","",TEXT(M3,"m/d(aaa)"))</f>
        <v/>
      </c>
      <c r="N6" s="21">
        <f>IF(N3="","",TEXT(N3,"m/d(aaa)"))</f>
        <v/>
      </c>
      <c r="O6" s="21">
        <f>IF(O3="","",TEXT(O3,"m/d(aaa)"))</f>
        <v/>
      </c>
      <c r="P6" s="21">
        <f>IF(P3="","",TEXT(P3,"m/d(aaa)"))</f>
        <v/>
      </c>
      <c r="Q6" s="21">
        <f>IF(Q3="","",TEXT(Q3,"m/d(aaa)"))</f>
        <v/>
      </c>
      <c r="R6" s="21">
        <f>IF(R3="","",TEXT(R3,"m/d(aaa)"))</f>
        <v/>
      </c>
      <c r="S6" s="21">
        <f>IF(S3="","",TEXT(S3,"m/d(aaa)"))</f>
        <v/>
      </c>
      <c r="T6" s="21">
        <f>IF(T3="","",TEXT(T3,"m/d(aaa)"))</f>
        <v/>
      </c>
      <c r="U6" s="21">
        <f>IF(U3="","",TEXT(U3,"m/d(aaa)"))</f>
        <v/>
      </c>
      <c r="V6" s="21">
        <f>IF(V3="","",TEXT(V3,"m/d(aaa)"))</f>
        <v/>
      </c>
      <c r="W6" s="21">
        <f>IF(W3="","",TEXT(W3,"m/d(aaa)"))</f>
        <v/>
      </c>
      <c r="X6" s="21">
        <f>IF(X3="","",TEXT(X3,"m/d(aaa)"))</f>
        <v/>
      </c>
      <c r="Y6" s="21">
        <f>IF(Y3="","",TEXT(Y3,"m/d(aaa)"))</f>
        <v/>
      </c>
      <c r="Z6" s="21">
        <f>IF(Z3="","",TEXT(Z3,"m/d(aaa)"))</f>
        <v/>
      </c>
      <c r="AA6" s="21">
        <f>IF(AA3="","",TEXT(AA3,"m/d(aaa)"))</f>
        <v/>
      </c>
      <c r="AB6" s="22" t="n"/>
    </row>
    <row r="7" ht="14" customHeight="1">
      <c r="A7" s="23" t="inlineStr">
        <is>
          <t>10日</t>
        </is>
      </c>
      <c r="B7" s="24" t="inlineStr">
        <is>
          <t>NTT</t>
        </is>
      </c>
      <c r="K7" s="25" t="n">
        <v>21004</v>
      </c>
      <c r="V7" s="25" t="n">
        <v>15950</v>
      </c>
      <c r="X7" s="25" t="n">
        <v>6318</v>
      </c>
      <c r="AB7" s="26">
        <f>SUM(D7:AA7)</f>
        <v/>
      </c>
    </row>
    <row r="8" ht="14" customHeight="1">
      <c r="A8" s="23" t="inlineStr">
        <is>
          <t>TCリース</t>
        </is>
      </c>
      <c r="B8" s="24" t="inlineStr">
        <is>
          <t>NTT（TCリース）</t>
        </is>
      </c>
      <c r="X8" s="25" t="n">
        <v>5291</v>
      </c>
      <c r="AB8" s="26">
        <f>SUM(D8:AA8)</f>
        <v/>
      </c>
    </row>
    <row r="9" ht="14" customHeight="1">
      <c r="A9" s="23" t="inlineStr"/>
      <c r="B9" s="24" t="inlineStr">
        <is>
          <t>大日IP定額</t>
        </is>
      </c>
      <c r="AB9" s="26">
        <f>SUM(D9:AA9)</f>
        <v/>
      </c>
    </row>
    <row r="10" ht="14" customHeight="1">
      <c r="A10" s="23" t="inlineStr"/>
      <c r="B10" s="24" t="inlineStr">
        <is>
          <t>KDDI</t>
        </is>
      </c>
      <c r="W10" s="25" t="n">
        <v>2700</v>
      </c>
      <c r="AB10" s="26">
        <f>SUM(D10:AA10)</f>
        <v/>
      </c>
    </row>
    <row r="11" ht="14" customHeight="1">
      <c r="A11" s="23" t="inlineStr"/>
      <c r="B11" s="24" t="inlineStr">
        <is>
          <t>大日へ</t>
        </is>
      </c>
      <c r="J11" s="25" t="n">
        <v>440000</v>
      </c>
      <c r="X11" s="25" t="n">
        <v>5000000</v>
      </c>
      <c r="AB11" s="26">
        <f>SUM(D11:AA11)</f>
        <v/>
      </c>
    </row>
    <row r="12" ht="14" customHeight="1">
      <c r="A12" s="23" t="inlineStr"/>
      <c r="B12" s="24" t="inlineStr">
        <is>
          <t>テレマーカー</t>
        </is>
      </c>
      <c r="AB12" s="26">
        <f>SUM(D12:AA12)</f>
        <v/>
      </c>
    </row>
    <row r="13" ht="14" customHeight="1">
      <c r="A13" s="23" t="inlineStr"/>
      <c r="B13" s="24" t="inlineStr">
        <is>
          <t>山田組</t>
        </is>
      </c>
      <c r="Q13" s="25" t="n">
        <v>19360</v>
      </c>
      <c r="AB13" s="26">
        <f>SUM(D13:AA13)</f>
        <v/>
      </c>
    </row>
    <row r="14" ht="14" customHeight="1">
      <c r="A14" s="23" t="inlineStr"/>
      <c r="B14" s="24" t="inlineStr">
        <is>
          <t>ブリックス社労士</t>
        </is>
      </c>
      <c r="M14" s="25" t="n">
        <v>30935</v>
      </c>
      <c r="AB14" s="26">
        <f>SUM(D14:AA14)</f>
        <v/>
      </c>
    </row>
    <row r="15" ht="14" customHeight="1">
      <c r="A15" s="23" t="inlineStr"/>
      <c r="B15" s="24" t="inlineStr">
        <is>
          <t>ぎしんBIZ</t>
        </is>
      </c>
      <c r="M15" s="25" t="n">
        <v>3300</v>
      </c>
      <c r="AB15" s="26">
        <f>SUM(D15:AA15)</f>
        <v/>
      </c>
    </row>
    <row r="16" ht="14" customHeight="1">
      <c r="A16" s="23" t="inlineStr"/>
      <c r="B16" s="24" t="inlineStr">
        <is>
          <t>東邦ガス</t>
        </is>
      </c>
      <c r="AB16" s="26">
        <f>SUM(D16:AA16)</f>
        <v/>
      </c>
    </row>
    <row r="17" ht="14" customHeight="1">
      <c r="A17" s="23" t="inlineStr"/>
      <c r="B17" s="24" t="inlineStr">
        <is>
          <t>水道料</t>
        </is>
      </c>
      <c r="AB17" s="26">
        <f>SUM(D17:AA17)</f>
        <v/>
      </c>
    </row>
    <row r="18" ht="14" customHeight="1">
      <c r="A18" s="23" t="inlineStr"/>
      <c r="B18" s="24" t="inlineStr">
        <is>
          <t>電気料</t>
        </is>
      </c>
      <c r="N18" s="25" t="n">
        <v>862474</v>
      </c>
      <c r="AB18" s="26">
        <f>SUM(D18:AA18)</f>
        <v/>
      </c>
    </row>
    <row r="19" ht="14" customHeight="1">
      <c r="A19" s="23" t="inlineStr"/>
      <c r="B19" s="24" t="inlineStr">
        <is>
          <t>十六リース（設備）</t>
        </is>
      </c>
      <c r="J19" s="25" t="n">
        <v>288200</v>
      </c>
      <c r="AB19" s="26">
        <f>SUM(D19:AA19)</f>
        <v/>
      </c>
    </row>
    <row r="20" ht="14" customHeight="1">
      <c r="A20" s="23" t="inlineStr"/>
      <c r="B20" s="24" t="inlineStr">
        <is>
          <t>十六リース（機械）</t>
        </is>
      </c>
      <c r="J20" s="25" t="n">
        <v>2718595</v>
      </c>
      <c r="AB20" s="26">
        <f>SUM(D20:AA20)</f>
        <v/>
      </c>
    </row>
    <row r="21" ht="14" customHeight="1">
      <c r="A21" s="23" t="inlineStr">
        <is>
          <t>ロボットペイ</t>
        </is>
      </c>
      <c r="B21" s="24" t="inlineStr">
        <is>
          <t>イージス</t>
        </is>
      </c>
      <c r="M21" s="25" t="n">
        <v>11165</v>
      </c>
      <c r="AB21" s="26">
        <f>SUM(D21:AA21)</f>
        <v/>
      </c>
    </row>
    <row r="22" ht="14" customHeight="1">
      <c r="A22" s="23" t="inlineStr"/>
      <c r="B22" s="24" t="inlineStr">
        <is>
          <t>高田繊維</t>
        </is>
      </c>
      <c r="J22" s="25" t="n">
        <v>432400</v>
      </c>
      <c r="P22" s="25" t="n">
        <v>142316</v>
      </c>
      <c r="AB22" s="26">
        <f>SUM(D22:AA22)</f>
        <v/>
      </c>
    </row>
    <row r="23" ht="14" customHeight="1">
      <c r="A23" s="23" t="inlineStr"/>
      <c r="B23" s="24" t="inlineStr">
        <is>
          <t>しんきんコピー機</t>
        </is>
      </c>
      <c r="U23" s="25" t="n">
        <v>13860</v>
      </c>
      <c r="AB23" s="26">
        <f>SUM(D23:AA23)</f>
        <v/>
      </c>
    </row>
    <row r="24" ht="14" customHeight="1">
      <c r="A24" s="23" t="inlineStr"/>
      <c r="B24" s="24" t="inlineStr">
        <is>
          <t>位田会計</t>
        </is>
      </c>
      <c r="U24" s="25" t="n">
        <v>127600</v>
      </c>
      <c r="AB24" s="26">
        <f>SUM(D24:AA24)</f>
        <v/>
      </c>
    </row>
    <row r="25" ht="14" customHeight="1">
      <c r="A25" s="23" t="inlineStr"/>
      <c r="B25" s="24" t="inlineStr">
        <is>
          <t>源泉</t>
        </is>
      </c>
      <c r="AB25" s="26">
        <f>SUM(D25:AA25)</f>
        <v/>
      </c>
    </row>
    <row r="26" ht="14" customHeight="1">
      <c r="A26" s="23" t="inlineStr"/>
      <c r="B26" s="24" t="inlineStr">
        <is>
          <t>住民税</t>
        </is>
      </c>
      <c r="M26" s="25" t="n">
        <v>61500</v>
      </c>
      <c r="AB26" s="26">
        <f>SUM(D26:AA26)</f>
        <v/>
      </c>
    </row>
    <row r="27" ht="14" customHeight="1">
      <c r="A27" s="23" t="inlineStr"/>
      <c r="B27" s="24" t="inlineStr">
        <is>
          <t>県遊協</t>
        </is>
      </c>
      <c r="AB27" s="26">
        <f>SUM(D27:AA27)</f>
        <v/>
      </c>
    </row>
    <row r="28" ht="14" customHeight="1">
      <c r="A28" s="23" t="inlineStr"/>
      <c r="B28" s="24" t="inlineStr">
        <is>
          <t>労働保険</t>
        </is>
      </c>
      <c r="AB28" s="26">
        <f>SUM(D28:AA28)</f>
        <v/>
      </c>
    </row>
    <row r="29" ht="14" customHeight="1">
      <c r="A29" s="23" t="inlineStr"/>
      <c r="B29" s="24" t="inlineStr">
        <is>
          <t>でんさい手数料</t>
        </is>
      </c>
      <c r="P29" s="25" t="n">
        <v>15840</v>
      </c>
      <c r="AB29" s="26">
        <f>SUM(D29:AA29)</f>
        <v/>
      </c>
    </row>
    <row r="30" ht="14" customHeight="1">
      <c r="A30" s="23" t="inlineStr"/>
      <c r="B30" s="24" t="inlineStr">
        <is>
          <t>振込手数料</t>
        </is>
      </c>
      <c r="K30" s="25" t="n">
        <v>34760</v>
      </c>
      <c r="AB30" s="26">
        <f>SUM(D30:AA30)</f>
        <v/>
      </c>
    </row>
    <row r="31" ht="14" customHeight="1">
      <c r="A31" s="23" t="inlineStr"/>
      <c r="B31" s="24" t="inlineStr">
        <is>
          <t>給料</t>
        </is>
      </c>
      <c r="P31" s="25" t="n">
        <v>2758340</v>
      </c>
      <c r="AB31" s="26">
        <f>SUM(D31:AA31)</f>
        <v/>
      </c>
    </row>
    <row r="32" ht="14" customHeight="1">
      <c r="A32" s="23" t="inlineStr"/>
      <c r="B32" s="24" t="inlineStr">
        <is>
          <t>役員/株主返済</t>
        </is>
      </c>
      <c r="AB32" s="26">
        <f>SUM(D32:AA32)</f>
        <v/>
      </c>
    </row>
    <row r="33" ht="14" customHeight="1">
      <c r="A33" s="23" t="inlineStr"/>
      <c r="B33" s="24" t="inlineStr">
        <is>
          <t>社会保険料</t>
        </is>
      </c>
      <c r="X33" s="25" t="n">
        <v>640000</v>
      </c>
      <c r="AB33" s="26">
        <f>SUM(D33:AA33)</f>
        <v/>
      </c>
    </row>
    <row r="34" ht="14" customHeight="1">
      <c r="A34" s="23" t="inlineStr"/>
      <c r="B34" s="24" t="inlineStr">
        <is>
          <t>固定資産税</t>
        </is>
      </c>
      <c r="AB34" s="26">
        <f>SUM(D34:AA34)</f>
        <v/>
      </c>
    </row>
    <row r="35" ht="14" customHeight="1">
      <c r="A35" s="23" t="inlineStr"/>
      <c r="B35" s="24" t="inlineStr">
        <is>
          <t>グローリー</t>
        </is>
      </c>
      <c r="V35" s="25" t="n">
        <v>360640</v>
      </c>
      <c r="AB35" s="26">
        <f>SUM(D35:AA35)</f>
        <v/>
      </c>
    </row>
    <row r="36" ht="14" customHeight="1">
      <c r="A36" s="23" t="inlineStr"/>
      <c r="B36" s="24" t="inlineStr">
        <is>
          <t>フジコム手形</t>
        </is>
      </c>
      <c r="Q36" s="25" t="n">
        <v>1557215</v>
      </c>
      <c r="AB36" s="26">
        <f>SUM(D36:AA36)</f>
        <v/>
      </c>
    </row>
    <row r="37" ht="14" customHeight="1">
      <c r="A37" s="23" t="inlineStr">
        <is>
          <t>26日</t>
        </is>
      </c>
      <c r="B37" s="24" t="inlineStr">
        <is>
          <t>北出家賃</t>
        </is>
      </c>
      <c r="W37" s="25" t="n">
        <v>76250</v>
      </c>
      <c r="AB37" s="26">
        <f>SUM(D37:AA37)</f>
        <v/>
      </c>
    </row>
    <row r="38" ht="14" customHeight="1">
      <c r="A38" s="23" t="inlineStr">
        <is>
          <t>26日</t>
        </is>
      </c>
      <c r="B38" s="24" t="inlineStr">
        <is>
          <t>アルソック入金機</t>
        </is>
      </c>
      <c r="W38" s="25" t="n">
        <v>88000</v>
      </c>
      <c r="AB38" s="26">
        <f>SUM(D38:AA38)</f>
        <v/>
      </c>
    </row>
    <row r="39" ht="14" customHeight="1">
      <c r="A39" s="23" t="inlineStr"/>
      <c r="B39" s="24" t="inlineStr">
        <is>
          <t>銀行返済</t>
        </is>
      </c>
      <c r="W39" s="25" t="n">
        <v>3700000</v>
      </c>
      <c r="AB39" s="26">
        <f>SUM(D39:AA39)</f>
        <v/>
      </c>
    </row>
    <row r="40" ht="14" customHeight="1">
      <c r="A40" s="23" t="inlineStr">
        <is>
          <t>26日</t>
        </is>
      </c>
      <c r="B40" s="24" t="inlineStr">
        <is>
          <t>ヤマト26日</t>
        </is>
      </c>
      <c r="V40" s="25" t="n">
        <v>660</v>
      </c>
      <c r="AB40" s="26">
        <f>SUM(D40:AA40)</f>
        <v/>
      </c>
    </row>
    <row r="41" ht="14" customHeight="1">
      <c r="A41" s="23" t="inlineStr">
        <is>
          <t>27日</t>
        </is>
      </c>
      <c r="B41" s="24" t="inlineStr">
        <is>
          <t>北電子</t>
        </is>
      </c>
      <c r="V41" s="25" t="n">
        <v>49280</v>
      </c>
      <c r="AB41" s="26">
        <f>SUM(D41:AA41)</f>
        <v/>
      </c>
    </row>
    <row r="42" ht="14" customHeight="1">
      <c r="A42" s="23" t="inlineStr"/>
      <c r="B42" s="24" t="inlineStr">
        <is>
          <t>機械手形</t>
        </is>
      </c>
      <c r="X42" s="25" t="n">
        <v>1411595</v>
      </c>
      <c r="AB42" s="26">
        <f>SUM(D42:AA42)</f>
        <v/>
      </c>
    </row>
    <row r="43" ht="14" customHeight="1">
      <c r="A43" s="23" t="inlineStr"/>
      <c r="B43" s="24" t="inlineStr">
        <is>
          <t>機械他（小切手）</t>
        </is>
      </c>
      <c r="W43" s="25" t="n">
        <v>613932</v>
      </c>
      <c r="AB43" s="26">
        <f>SUM(D43:AA43)</f>
        <v/>
      </c>
    </row>
    <row r="44" ht="14" customHeight="1">
      <c r="A44" s="23" t="inlineStr"/>
      <c r="B44" s="24" t="inlineStr">
        <is>
          <t>月末振込</t>
        </is>
      </c>
      <c r="W44" s="25" t="n">
        <v>2622018</v>
      </c>
      <c r="AB44" s="26">
        <f>SUM(D44:AA44)</f>
        <v/>
      </c>
    </row>
    <row r="45" ht="14" customHeight="1">
      <c r="A45" s="23" t="inlineStr"/>
      <c r="B45" s="24" t="inlineStr">
        <is>
          <t>ダイコク（自）</t>
        </is>
      </c>
      <c r="W45" s="25" t="n">
        <v>38500</v>
      </c>
      <c r="AB45" s="26">
        <f>SUM(D45:AA45)</f>
        <v/>
      </c>
    </row>
    <row r="46" ht="14" customHeight="1">
      <c r="A46" s="23" t="inlineStr"/>
      <c r="B46" s="24" t="inlineStr">
        <is>
          <t>納税</t>
        </is>
      </c>
      <c r="X46" s="25" t="n">
        <v>501668</v>
      </c>
      <c r="AB46" s="26">
        <f>SUM(D46:AA46)</f>
        <v/>
      </c>
    </row>
    <row r="47" ht="14" customHeight="1">
      <c r="A47" s="23" t="inlineStr"/>
      <c r="B47" s="24" t="inlineStr">
        <is>
          <t>電気・ガス代</t>
        </is>
      </c>
      <c r="AB47" s="26">
        <f>SUM(D47:AA47)</f>
        <v/>
      </c>
    </row>
    <row r="48" ht="14" customHeight="1">
      <c r="A48" s="23" t="inlineStr"/>
      <c r="B48" s="24" t="inlineStr">
        <is>
          <t>ウェルピアへ</t>
        </is>
      </c>
      <c r="AB48" s="26">
        <f>SUM(D48:AA48)</f>
        <v/>
      </c>
    </row>
    <row r="49" ht="14" customHeight="1">
      <c r="A49" s="23" t="inlineStr"/>
      <c r="B49" s="24" t="inlineStr">
        <is>
          <t>小口</t>
        </is>
      </c>
      <c r="AB49" s="26">
        <f>SUM(D49:AA49)</f>
        <v/>
      </c>
    </row>
    <row r="50" ht="14" customHeight="1">
      <c r="A50" s="23" t="inlineStr"/>
      <c r="B50" s="24" t="inlineStr">
        <is>
          <t>その他①</t>
        </is>
      </c>
      <c r="AB50" s="26">
        <f>SUM(D50:AA50)</f>
        <v/>
      </c>
    </row>
    <row r="51" ht="14" customHeight="1">
      <c r="A51" s="23" t="inlineStr"/>
      <c r="B51" s="24" t="inlineStr">
        <is>
          <t>その他②</t>
        </is>
      </c>
      <c r="AB51" s="26">
        <f>SUM(D51:AA51)</f>
        <v/>
      </c>
    </row>
    <row r="52" ht="16" customHeight="1">
      <c r="A52" s="27" t="inlineStr">
        <is>
          <t>支　払　合　計</t>
        </is>
      </c>
      <c r="D52" s="28">
        <f>SUM(D7:D51)</f>
        <v/>
      </c>
      <c r="E52" s="28">
        <f>SUM(E7:E51)</f>
        <v/>
      </c>
      <c r="F52" s="28">
        <f>SUM(F7:F51)</f>
        <v/>
      </c>
      <c r="G52" s="28">
        <f>SUM(G7:G51)</f>
        <v/>
      </c>
      <c r="H52" s="28">
        <f>SUM(H7:H51)</f>
        <v/>
      </c>
      <c r="I52" s="28">
        <f>SUM(I7:I51)</f>
        <v/>
      </c>
      <c r="J52" s="28">
        <f>SUM(J7:J51)</f>
        <v/>
      </c>
      <c r="K52" s="28">
        <f>SUM(K7:K51)</f>
        <v/>
      </c>
      <c r="L52" s="28">
        <f>SUM(L7:L51)</f>
        <v/>
      </c>
      <c r="M52" s="28">
        <f>SUM(M7:M51)</f>
        <v/>
      </c>
      <c r="N52" s="28">
        <f>SUM(N7:N51)</f>
        <v/>
      </c>
      <c r="O52" s="28">
        <f>SUM(O7:O51)</f>
        <v/>
      </c>
      <c r="P52" s="28">
        <f>SUM(P7:P51)</f>
        <v/>
      </c>
      <c r="Q52" s="28">
        <f>SUM(Q7:Q51)</f>
        <v/>
      </c>
      <c r="R52" s="28">
        <f>SUM(R7:R51)</f>
        <v/>
      </c>
      <c r="S52" s="28">
        <f>SUM(S7:S51)</f>
        <v/>
      </c>
      <c r="T52" s="28">
        <f>SUM(T7:T51)</f>
        <v/>
      </c>
      <c r="U52" s="28">
        <f>SUM(U7:U51)</f>
        <v/>
      </c>
      <c r="V52" s="28">
        <f>SUM(V7:V51)</f>
        <v/>
      </c>
      <c r="W52" s="28">
        <f>SUM(W7:W51)</f>
        <v/>
      </c>
      <c r="X52" s="28">
        <f>SUM(X7:X51)</f>
        <v/>
      </c>
      <c r="Y52" s="28">
        <f>SUM(Y7:Y51)</f>
        <v/>
      </c>
      <c r="Z52" s="28">
        <f>SUM(Z7:Z51)</f>
        <v/>
      </c>
      <c r="AA52" s="28">
        <f>SUM(AA7:AA51)</f>
        <v/>
      </c>
      <c r="AB52" s="28">
        <f>SUM(D52:AA52)</f>
        <v/>
      </c>
    </row>
    <row r="53" ht="14" customHeight="1">
      <c r="A53" s="29" t="inlineStr">
        <is>
          <t>【 収　入 】</t>
        </is>
      </c>
    </row>
    <row r="54" ht="15" customHeight="1">
      <c r="A54" s="30" t="inlineStr">
        <is>
          <t>日　付</t>
        </is>
      </c>
      <c r="D54" s="30">
        <f>IF(D3="","",TEXT(D3,"m/d(aaa)"))</f>
        <v/>
      </c>
      <c r="E54" s="30">
        <f>IF(E3="","",TEXT(E3,"m/d(aaa)"))</f>
        <v/>
      </c>
      <c r="F54" s="30">
        <f>IF(F3="","",TEXT(F3,"m/d(aaa)"))</f>
        <v/>
      </c>
      <c r="G54" s="30">
        <f>IF(G3="","",TEXT(G3,"m/d(aaa)"))</f>
        <v/>
      </c>
      <c r="H54" s="30">
        <f>IF(H3="","",TEXT(H3,"m/d(aaa)"))</f>
        <v/>
      </c>
      <c r="I54" s="30">
        <f>IF(I3="","",TEXT(I3,"m/d(aaa)"))</f>
        <v/>
      </c>
      <c r="J54" s="30">
        <f>IF(J3="","",TEXT(J3,"m/d(aaa)"))</f>
        <v/>
      </c>
      <c r="K54" s="30">
        <f>IF(K3="","",TEXT(K3,"m/d(aaa)"))</f>
        <v/>
      </c>
      <c r="L54" s="30">
        <f>IF(L3="","",TEXT(L3,"m/d(aaa)"))</f>
        <v/>
      </c>
      <c r="M54" s="30">
        <f>IF(M3="","",TEXT(M3,"m/d(aaa)"))</f>
        <v/>
      </c>
      <c r="N54" s="30">
        <f>IF(N3="","",TEXT(N3,"m/d(aaa)"))</f>
        <v/>
      </c>
      <c r="O54" s="30">
        <f>IF(O3="","",TEXT(O3,"m/d(aaa)"))</f>
        <v/>
      </c>
      <c r="P54" s="30">
        <f>IF(P3="","",TEXT(P3,"m/d(aaa)"))</f>
        <v/>
      </c>
      <c r="Q54" s="30">
        <f>IF(Q3="","",TEXT(Q3,"m/d(aaa)"))</f>
        <v/>
      </c>
      <c r="R54" s="30">
        <f>IF(R3="","",TEXT(R3,"m/d(aaa)"))</f>
        <v/>
      </c>
      <c r="S54" s="30">
        <f>IF(S3="","",TEXT(S3,"m/d(aaa)"))</f>
        <v/>
      </c>
      <c r="T54" s="30">
        <f>IF(T3="","",TEXT(T3,"m/d(aaa)"))</f>
        <v/>
      </c>
      <c r="U54" s="30">
        <f>IF(U3="","",TEXT(U3,"m/d(aaa)"))</f>
        <v/>
      </c>
      <c r="V54" s="30">
        <f>IF(V3="","",TEXT(V3,"m/d(aaa)"))</f>
        <v/>
      </c>
      <c r="W54" s="30">
        <f>IF(W3="","",TEXT(W3,"m/d(aaa)"))</f>
        <v/>
      </c>
      <c r="X54" s="30">
        <f>IF(X3="","",TEXT(X3,"m/d(aaa)"))</f>
        <v/>
      </c>
      <c r="Y54" s="30">
        <f>IF(Y3="","",TEXT(Y3,"m/d(aaa)"))</f>
        <v/>
      </c>
      <c r="Z54" s="30">
        <f>IF(Z3="","",TEXT(Z3,"m/d(aaa)"))</f>
        <v/>
      </c>
      <c r="AA54" s="30">
        <f>IF(AA3="","",TEXT(AA3,"m/d(aaa)"))</f>
        <v/>
      </c>
      <c r="AB54" s="31" t="n"/>
    </row>
    <row r="55" ht="14" customHeight="1">
      <c r="A55" s="32" t="inlineStr">
        <is>
          <t>E　売　上</t>
        </is>
      </c>
      <c r="D55" s="33" t="n">
        <v>813500</v>
      </c>
      <c r="E55" s="33" t="n">
        <v>340200</v>
      </c>
      <c r="F55" s="33" t="n">
        <v>360700</v>
      </c>
      <c r="G55" s="33" t="n">
        <v>2973600</v>
      </c>
      <c r="H55" s="33" t="n">
        <v>186000</v>
      </c>
      <c r="I55" s="33" t="n">
        <v>1028200</v>
      </c>
      <c r="J55" s="33" t="n">
        <v>672000</v>
      </c>
      <c r="K55" s="33" t="n">
        <v>514200</v>
      </c>
      <c r="L55" s="33" t="n">
        <v>3500000</v>
      </c>
      <c r="M55" s="33" t="n">
        <v>652200</v>
      </c>
      <c r="N55" s="33" t="n">
        <v>463900</v>
      </c>
      <c r="O55" s="33" t="n">
        <v>517100</v>
      </c>
      <c r="P55" s="33" t="n">
        <v>500000</v>
      </c>
      <c r="Q55" s="33" t="n">
        <v>2500000</v>
      </c>
      <c r="R55" s="33" t="n">
        <v>500000</v>
      </c>
      <c r="S55" s="33" t="n">
        <v>500000</v>
      </c>
      <c r="T55" s="33" t="n">
        <v>500000</v>
      </c>
      <c r="U55" s="33" t="n">
        <v>500000</v>
      </c>
      <c r="V55" s="33" t="n">
        <v>2500000</v>
      </c>
      <c r="W55" s="33" t="n"/>
      <c r="X55" s="33" t="n">
        <v>500000</v>
      </c>
      <c r="Y55" s="34" t="n"/>
      <c r="Z55" s="34" t="n"/>
      <c r="AA55" s="34" t="n"/>
      <c r="AB55" s="35">
        <f>SUM(D55:AA55)</f>
        <v/>
      </c>
    </row>
    <row r="56" ht="14" customHeight="1">
      <c r="A56" s="32" t="inlineStr">
        <is>
          <t>その他入金①</t>
        </is>
      </c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3" t="n">
        <v>22000</v>
      </c>
      <c r="W56" s="34" t="n"/>
      <c r="X56" s="34" t="n"/>
      <c r="Y56" s="34" t="n"/>
      <c r="Z56" s="34" t="n"/>
      <c r="AA56" s="34" t="n"/>
      <c r="AB56" s="35">
        <f>SUM(D56:AA56)</f>
        <v/>
      </c>
    </row>
    <row r="57" ht="14" customHeight="1">
      <c r="A57" s="32" t="inlineStr">
        <is>
          <t>その他入金②</t>
        </is>
      </c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3" t="n">
        <v>110000</v>
      </c>
      <c r="X57" s="34" t="n"/>
      <c r="Y57" s="34" t="n"/>
      <c r="Z57" s="34" t="n"/>
      <c r="AA57" s="34" t="n"/>
      <c r="AB57" s="35">
        <f>SUM(D57:AA57)</f>
        <v/>
      </c>
    </row>
    <row r="58" ht="16" customHeight="1">
      <c r="A58" s="36" t="inlineStr">
        <is>
          <t>収　入　合　計</t>
        </is>
      </c>
      <c r="D58" s="37">
        <f>SUM(D55:D57)</f>
        <v/>
      </c>
      <c r="E58" s="37">
        <f>SUM(E55:E57)</f>
        <v/>
      </c>
      <c r="F58" s="37">
        <f>SUM(F55:F57)</f>
        <v/>
      </c>
      <c r="G58" s="37">
        <f>SUM(G55:G57)</f>
        <v/>
      </c>
      <c r="H58" s="37">
        <f>SUM(H55:H57)</f>
        <v/>
      </c>
      <c r="I58" s="37">
        <f>SUM(I55:I57)</f>
        <v/>
      </c>
      <c r="J58" s="37">
        <f>SUM(J55:J57)</f>
        <v/>
      </c>
      <c r="K58" s="37">
        <f>SUM(K55:K57)</f>
        <v/>
      </c>
      <c r="L58" s="37">
        <f>SUM(L55:L57)</f>
        <v/>
      </c>
      <c r="M58" s="37">
        <f>SUM(M55:M57)</f>
        <v/>
      </c>
      <c r="N58" s="37">
        <f>SUM(N55:N57)</f>
        <v/>
      </c>
      <c r="O58" s="37">
        <f>SUM(O55:O57)</f>
        <v/>
      </c>
      <c r="P58" s="37">
        <f>SUM(P55:P57)</f>
        <v/>
      </c>
      <c r="Q58" s="37">
        <f>SUM(Q55:Q57)</f>
        <v/>
      </c>
      <c r="R58" s="37">
        <f>SUM(R55:R57)</f>
        <v/>
      </c>
      <c r="S58" s="37">
        <f>SUM(S55:S57)</f>
        <v/>
      </c>
      <c r="T58" s="37">
        <f>SUM(T55:T57)</f>
        <v/>
      </c>
      <c r="U58" s="37">
        <f>SUM(U55:U57)</f>
        <v/>
      </c>
      <c r="V58" s="37">
        <f>SUM(V55:V57)</f>
        <v/>
      </c>
      <c r="W58" s="37">
        <f>SUM(W55:W57)</f>
        <v/>
      </c>
      <c r="X58" s="37">
        <f>SUM(X55:X57)</f>
        <v/>
      </c>
      <c r="Y58" s="37">
        <f>SUM(Y55:Y57)</f>
        <v/>
      </c>
      <c r="Z58" s="37">
        <f>SUM(Z55:Z57)</f>
        <v/>
      </c>
      <c r="AA58" s="37">
        <f>SUM(AA55:AA57)</f>
        <v/>
      </c>
      <c r="AB58" s="37">
        <f>SUM(D58:AA58)</f>
        <v/>
      </c>
    </row>
    <row r="59" ht="22" customHeight="1">
      <c r="A59" s="38" t="inlineStr">
        <is>
          <t>残　　　高</t>
        </is>
      </c>
      <c r="D59" s="39">
        <f>IF(D3="","",$D$2+D58-D52)</f>
        <v/>
      </c>
      <c r="E59" s="39">
        <f>IF(E3="","",D59+E58-E52)</f>
        <v/>
      </c>
      <c r="F59" s="39">
        <f>IF(F3="","",E59+F58-F52)</f>
        <v/>
      </c>
      <c r="G59" s="39">
        <f>IF(G3="","",F59+G58-G52)</f>
        <v/>
      </c>
      <c r="H59" s="39">
        <f>IF(H3="","",G59+H58-H52)</f>
        <v/>
      </c>
      <c r="I59" s="39">
        <f>IF(I3="","",H59+I58-I52)</f>
        <v/>
      </c>
      <c r="J59" s="39">
        <f>IF(J3="","",I59+J58-J52)</f>
        <v/>
      </c>
      <c r="K59" s="39">
        <f>IF(K3="","",J59+K58-K52)</f>
        <v/>
      </c>
      <c r="L59" s="39">
        <f>IF(L3="","",K59+L58-L52)</f>
        <v/>
      </c>
      <c r="M59" s="39">
        <f>IF(M3="","",L59+M58-M52)</f>
        <v/>
      </c>
      <c r="N59" s="39">
        <f>IF(N3="","",M59+N58-N52)</f>
        <v/>
      </c>
      <c r="O59" s="39">
        <f>IF(O3="","",N59+O58-O52)</f>
        <v/>
      </c>
      <c r="P59" s="39">
        <f>IF(P3="","",O59+P58-P52)</f>
        <v/>
      </c>
      <c r="Q59" s="39">
        <f>IF(Q3="","",P59+Q58-Q52)</f>
        <v/>
      </c>
      <c r="R59" s="39">
        <f>IF(R3="","",Q59+R58-R52)</f>
        <v/>
      </c>
      <c r="S59" s="39">
        <f>IF(S3="","",R59+S58-S52)</f>
        <v/>
      </c>
      <c r="T59" s="39">
        <f>IF(T3="","",S59+T58-T52)</f>
        <v/>
      </c>
      <c r="U59" s="39">
        <f>IF(U3="","",T59+U58-U52)</f>
        <v/>
      </c>
      <c r="V59" s="39">
        <f>IF(V3="","",U59+V58-V52)</f>
        <v/>
      </c>
      <c r="W59" s="39">
        <f>IF(W3="","",V59+W58-W52)</f>
        <v/>
      </c>
      <c r="X59" s="39">
        <f>IF(X3="","",W59+X58-X52)</f>
        <v/>
      </c>
      <c r="Y59" s="39">
        <f>IF(Y3="","",X59+Y58-Y52)</f>
        <v/>
      </c>
      <c r="Z59" s="39">
        <f>IF(Z3="","",Y59+Z58-Z52)</f>
        <v/>
      </c>
      <c r="AA59" s="39">
        <f>IF(AA3="","",Z59+AA58-AA52)</f>
        <v/>
      </c>
      <c r="AB59" s="40">
        <f>IFERROR(LOOKUP(2,1/ISNUMBER(D59:AA59),D59:AA59),"--")</f>
        <v/>
      </c>
    </row>
  </sheetData>
  <mergeCells count="14">
    <mergeCell ref="A57:C57"/>
    <mergeCell ref="A59:C59"/>
    <mergeCell ref="A5:AB5"/>
    <mergeCell ref="A6:C6"/>
    <mergeCell ref="A58:C58"/>
    <mergeCell ref="E2:AB2"/>
    <mergeCell ref="A56:C56"/>
    <mergeCell ref="A1:AB1"/>
    <mergeCell ref="A55:C55"/>
    <mergeCell ref="A4:C4"/>
    <mergeCell ref="A53:AB53"/>
    <mergeCell ref="A54:C54"/>
    <mergeCell ref="A2:C2"/>
    <mergeCell ref="A52:C52"/>
  </mergeCells>
  <conditionalFormatting sqref="D3:AA3">
    <cfRule type="expression" priority="1" dxfId="0">
      <formula>=AND(D3&lt;&gt;"",COUNTIF(祝日!$A$2:$A$200,D3)&gt;0)</formula>
    </cfRule>
  </conditionalFormatting>
  <conditionalFormatting sqref="D6:AA6">
    <cfRule type="expression" priority="2" dxfId="1">
      <formula>=AND(D$3&lt;&gt;"",COUNTIF(祝日!$A$2:$A$200,D$3)&gt;0)</formula>
    </cfRule>
  </conditionalFormatting>
  <conditionalFormatting sqref="D7:AA51">
    <cfRule type="expression" priority="3" dxfId="2">
      <formula>=AND(D$3&lt;&gt;"",WEEKNUM(D$3,2)-WEEKNUM(DATE(YEAR($D$3),MONTH($D$3),1),2)+1=1)</formula>
    </cfRule>
    <cfRule type="expression" priority="4" dxfId="3">
      <formula>=AND(D$3&lt;&gt;"",WEEKNUM(D$3,2)-WEEKNUM(DATE(YEAR($D$3),MONTH($D$3),1),2)+1=2)</formula>
    </cfRule>
    <cfRule type="expression" priority="5" dxfId="4">
      <formula>=AND(D$3&lt;&gt;"",WEEKNUM(D$3,2)-WEEKNUM(DATE(YEAR($D$3),MONTH($D$3),1),2)+1=3)</formula>
    </cfRule>
    <cfRule type="expression" priority="6" dxfId="5">
      <formula>=AND(D$3&lt;&gt;"",WEEKNUM(D$3,2)-WEEKNUM(DATE(YEAR($D$3),MONTH($D$3),1),2)+1=4)</formula>
    </cfRule>
    <cfRule type="expression" priority="7" dxfId="6">
      <formula>=AND(D$3&lt;&gt;"",WEEKNUM(D$3,2)-WEEKNUM(DATE(YEAR($D$3),MONTH($D$3),1),2)+1=5)</formula>
    </cfRule>
  </conditionalFormatting>
  <conditionalFormatting sqref="D54:AA54">
    <cfRule type="expression" priority="8" dxfId="1">
      <formula>=AND(D$3&lt;&gt;"",COUNTIF(祝日!$A$2:$A$200,D$3)&gt;0)</formula>
    </cfRule>
  </conditionalFormatting>
  <conditionalFormatting sqref="D55:AA57">
    <cfRule type="expression" priority="9" dxfId="2">
      <formula>=AND(D$3&lt;&gt;"",WEEKNUM(D$3,2)-WEEKNUM(DATE(YEAR($D$3),MONTH($D$3),1),2)+1=1)</formula>
    </cfRule>
    <cfRule type="expression" priority="10" dxfId="3">
      <formula>=AND(D$3&lt;&gt;"",WEEKNUM(D$3,2)-WEEKNUM(DATE(YEAR($D$3),MONTH($D$3),1),2)+1=2)</formula>
    </cfRule>
    <cfRule type="expression" priority="11" dxfId="4">
      <formula>=AND(D$3&lt;&gt;"",WEEKNUM(D$3,2)-WEEKNUM(DATE(YEAR($D$3),MONTH($D$3),1),2)+1=3)</formula>
    </cfRule>
    <cfRule type="expression" priority="12" dxfId="5">
      <formula>=AND(D$3&lt;&gt;"",WEEKNUM(D$3,2)-WEEKNUM(DATE(YEAR($D$3),MONTH($D$3),1),2)+1=4)</formula>
    </cfRule>
    <cfRule type="expression" priority="13" dxfId="6">
      <formula>=AND(D$3&lt;&gt;"",WEEKNUM(D$3,2)-WEEKNUM(DATE(YEAR($D$3),MONTH($D$3),1),2)+1=5)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7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13" customWidth="1" min="28" max="28"/>
  </cols>
  <sheetData>
    <row r="1" ht="26" customHeight="1">
      <c r="A1" s="41">
        <f>"週間資金繰表　令和"&amp;(設定!B4-2018)&amp;"年"&amp;設定!B5&amp;"月　大日産業（岐信当座）"</f>
        <v/>
      </c>
    </row>
    <row r="2" ht="18" customHeight="1">
      <c r="A2" s="11" t="inlineStr">
        <is>
          <t>前 月 末 残</t>
        </is>
      </c>
      <c r="D2" s="12">
        <f>設定!$B$9</f>
        <v/>
      </c>
      <c r="E2" s="13" t="inlineStr">
        <is>
          <t>← 設定シートで変更できます</t>
        </is>
      </c>
    </row>
    <row r="3" ht="20" customHeight="1">
      <c r="A3" s="42" t="inlineStr">
        <is>
          <t>引落日等</t>
        </is>
      </c>
      <c r="B3" s="42" t="inlineStr">
        <is>
          <t>支　払　項　目</t>
        </is>
      </c>
      <c r="C3" s="42" t="n"/>
      <c r="D3" s="43">
        <f>IFERROR(WORKDAY(DATE(設定!$B$4,設定!$B$5,1)-1,1,祝日!$A$2:$A$200),"")</f>
        <v/>
      </c>
      <c r="E3" s="43">
        <f>IF(OR(D3="",D3&gt;=EOMONTH(D3,0)),"",IFERROR(IF(WORKDAY(D3,1,祝日!$A$2:$A$200)&gt;EOMONTH(D3,0),"",WORKDAY(D3,1,祝日!$A$2:$A$200)),""))</f>
        <v/>
      </c>
      <c r="F3" s="43">
        <f>IF(OR(E3="",E3&gt;=EOMONTH(D3,0)),"",IFERROR(IF(WORKDAY(E3,1,祝日!$A$2:$A$200)&gt;EOMONTH(D3,0),"",WORKDAY(E3,1,祝日!$A$2:$A$200)),""))</f>
        <v/>
      </c>
      <c r="G3" s="43">
        <f>IF(OR(F3="",F3&gt;=EOMONTH(D3,0)),"",IFERROR(IF(WORKDAY(F3,1,祝日!$A$2:$A$200)&gt;EOMONTH(D3,0),"",WORKDAY(F3,1,祝日!$A$2:$A$200)),""))</f>
        <v/>
      </c>
      <c r="H3" s="43">
        <f>IF(OR(G3="",G3&gt;=EOMONTH(D3,0)),"",IFERROR(IF(WORKDAY(G3,1,祝日!$A$2:$A$200)&gt;EOMONTH(D3,0),"",WORKDAY(G3,1,祝日!$A$2:$A$200)),""))</f>
        <v/>
      </c>
      <c r="I3" s="43">
        <f>IF(OR(H3="",H3&gt;=EOMONTH(D3,0)),"",IFERROR(IF(WORKDAY(H3,1,祝日!$A$2:$A$200)&gt;EOMONTH(D3,0),"",WORKDAY(H3,1,祝日!$A$2:$A$200)),""))</f>
        <v/>
      </c>
      <c r="J3" s="43">
        <f>IF(OR(I3="",I3&gt;=EOMONTH(D3,0)),"",IFERROR(IF(WORKDAY(I3,1,祝日!$A$2:$A$200)&gt;EOMONTH(D3,0),"",WORKDAY(I3,1,祝日!$A$2:$A$200)),""))</f>
        <v/>
      </c>
      <c r="K3" s="43">
        <f>IF(OR(J3="",J3&gt;=EOMONTH(D3,0)),"",IFERROR(IF(WORKDAY(J3,1,祝日!$A$2:$A$200)&gt;EOMONTH(D3,0),"",WORKDAY(J3,1,祝日!$A$2:$A$200)),""))</f>
        <v/>
      </c>
      <c r="L3" s="43">
        <f>IF(OR(K3="",K3&gt;=EOMONTH(D3,0)),"",IFERROR(IF(WORKDAY(K3,1,祝日!$A$2:$A$200)&gt;EOMONTH(D3,0),"",WORKDAY(K3,1,祝日!$A$2:$A$200)),""))</f>
        <v/>
      </c>
      <c r="M3" s="43">
        <f>IF(OR(L3="",L3&gt;=EOMONTH(D3,0)),"",IFERROR(IF(WORKDAY(L3,1,祝日!$A$2:$A$200)&gt;EOMONTH(D3,0),"",WORKDAY(L3,1,祝日!$A$2:$A$200)),""))</f>
        <v/>
      </c>
      <c r="N3" s="43">
        <f>IF(OR(M3="",M3&gt;=EOMONTH(D3,0)),"",IFERROR(IF(WORKDAY(M3,1,祝日!$A$2:$A$200)&gt;EOMONTH(D3,0),"",WORKDAY(M3,1,祝日!$A$2:$A$200)),""))</f>
        <v/>
      </c>
      <c r="O3" s="43">
        <f>IF(OR(N3="",N3&gt;=EOMONTH(D3,0)),"",IFERROR(IF(WORKDAY(N3,1,祝日!$A$2:$A$200)&gt;EOMONTH(D3,0),"",WORKDAY(N3,1,祝日!$A$2:$A$200)),""))</f>
        <v/>
      </c>
      <c r="P3" s="43">
        <f>IF(OR(O3="",O3&gt;=EOMONTH(D3,0)),"",IFERROR(IF(WORKDAY(O3,1,祝日!$A$2:$A$200)&gt;EOMONTH(D3,0),"",WORKDAY(O3,1,祝日!$A$2:$A$200)),""))</f>
        <v/>
      </c>
      <c r="Q3" s="43">
        <f>IF(OR(P3="",P3&gt;=EOMONTH(D3,0)),"",IFERROR(IF(WORKDAY(P3,1,祝日!$A$2:$A$200)&gt;EOMONTH(D3,0),"",WORKDAY(P3,1,祝日!$A$2:$A$200)),""))</f>
        <v/>
      </c>
      <c r="R3" s="43">
        <f>IF(OR(Q3="",Q3&gt;=EOMONTH(D3,0)),"",IFERROR(IF(WORKDAY(Q3,1,祝日!$A$2:$A$200)&gt;EOMONTH(D3,0),"",WORKDAY(Q3,1,祝日!$A$2:$A$200)),""))</f>
        <v/>
      </c>
      <c r="S3" s="43">
        <f>IF(OR(R3="",R3&gt;=EOMONTH(D3,0)),"",IFERROR(IF(WORKDAY(R3,1,祝日!$A$2:$A$200)&gt;EOMONTH(D3,0),"",WORKDAY(R3,1,祝日!$A$2:$A$200)),""))</f>
        <v/>
      </c>
      <c r="T3" s="43">
        <f>IF(OR(S3="",S3&gt;=EOMONTH(D3,0)),"",IFERROR(IF(WORKDAY(S3,1,祝日!$A$2:$A$200)&gt;EOMONTH(D3,0),"",WORKDAY(S3,1,祝日!$A$2:$A$200)),""))</f>
        <v/>
      </c>
      <c r="U3" s="43">
        <f>IF(OR(T3="",T3&gt;=EOMONTH(D3,0)),"",IFERROR(IF(WORKDAY(T3,1,祝日!$A$2:$A$200)&gt;EOMONTH(D3,0),"",WORKDAY(T3,1,祝日!$A$2:$A$200)),""))</f>
        <v/>
      </c>
      <c r="V3" s="43">
        <f>IF(OR(U3="",U3&gt;=EOMONTH(D3,0)),"",IFERROR(IF(WORKDAY(U3,1,祝日!$A$2:$A$200)&gt;EOMONTH(D3,0),"",WORKDAY(U3,1,祝日!$A$2:$A$200)),""))</f>
        <v/>
      </c>
      <c r="W3" s="43">
        <f>IF(OR(V3="",V3&gt;=EOMONTH(D3,0)),"",IFERROR(IF(WORKDAY(V3,1,祝日!$A$2:$A$200)&gt;EOMONTH(D3,0),"",WORKDAY(V3,1,祝日!$A$2:$A$200)),""))</f>
        <v/>
      </c>
      <c r="X3" s="43">
        <f>IF(OR(W3="",W3&gt;=EOMONTH(D3,0)),"",IFERROR(IF(WORKDAY(W3,1,祝日!$A$2:$A$200)&gt;EOMONTH(D3,0),"",WORKDAY(W3,1,祝日!$A$2:$A$200)),""))</f>
        <v/>
      </c>
      <c r="Y3" s="43">
        <f>IF(OR(X3="",X3&gt;=EOMONTH(D3,0)),"",IFERROR(IF(WORKDAY(X3,1,祝日!$A$2:$A$200)&gt;EOMONTH(D3,0),"",WORKDAY(X3,1,祝日!$A$2:$A$200)),""))</f>
        <v/>
      </c>
      <c r="Z3" s="43">
        <f>IF(OR(Y3="",Y3&gt;=EOMONTH(D3,0)),"",IFERROR(IF(WORKDAY(Y3,1,祝日!$A$2:$A$200)&gt;EOMONTH(D3,0),"",WORKDAY(Y3,1,祝日!$A$2:$A$200)),""))</f>
        <v/>
      </c>
      <c r="AA3" s="44">
        <f>IF(D3="","",IF(WORKDAY(EOMONTH(D3,0)-1,1,祝日!$A$2:$A$200)=EOMONTH(D3,0),"",WORKDAY(EOMONTH(D3,0),1,祝日!$A$2:$A$200)))</f>
        <v/>
      </c>
      <c r="AB3" s="42" t="inlineStr">
        <is>
          <t>月　計</t>
        </is>
      </c>
    </row>
    <row r="4" ht="13" customHeight="1">
      <c r="A4" s="17" t="inlineStr">
        <is>
          <t>祝　日</t>
        </is>
      </c>
      <c r="D4" s="18">
        <f>IFERROR(IF(D3="","",INDEX(祝日!$B$2:$B$200,MATCH(D3,祝日!$A$2:$A$200,0)))," ")</f>
        <v/>
      </c>
      <c r="E4" s="18">
        <f>IFERROR(IF(E3="","",INDEX(祝日!$B$2:$B$200,MATCH(E3,祝日!$A$2:$A$200,0)))," ")</f>
        <v/>
      </c>
      <c r="F4" s="18">
        <f>IFERROR(IF(F3="","",INDEX(祝日!$B$2:$B$200,MATCH(F3,祝日!$A$2:$A$200,0)))," ")</f>
        <v/>
      </c>
      <c r="G4" s="18">
        <f>IFERROR(IF(G3="","",INDEX(祝日!$B$2:$B$200,MATCH(G3,祝日!$A$2:$A$200,0)))," ")</f>
        <v/>
      </c>
      <c r="H4" s="18">
        <f>IFERROR(IF(H3="","",INDEX(祝日!$B$2:$B$200,MATCH(H3,祝日!$A$2:$A$200,0)))," ")</f>
        <v/>
      </c>
      <c r="I4" s="18">
        <f>IFERROR(IF(I3="","",INDEX(祝日!$B$2:$B$200,MATCH(I3,祝日!$A$2:$A$200,0)))," ")</f>
        <v/>
      </c>
      <c r="J4" s="18">
        <f>IFERROR(IF(J3="","",INDEX(祝日!$B$2:$B$200,MATCH(J3,祝日!$A$2:$A$200,0)))," ")</f>
        <v/>
      </c>
      <c r="K4" s="18">
        <f>IFERROR(IF(K3="","",INDEX(祝日!$B$2:$B$200,MATCH(K3,祝日!$A$2:$A$200,0)))," ")</f>
        <v/>
      </c>
      <c r="L4" s="18">
        <f>IFERROR(IF(L3="","",INDEX(祝日!$B$2:$B$200,MATCH(L3,祝日!$A$2:$A$200,0)))," ")</f>
        <v/>
      </c>
      <c r="M4" s="18">
        <f>IFERROR(IF(M3="","",INDEX(祝日!$B$2:$B$200,MATCH(M3,祝日!$A$2:$A$200,0)))," ")</f>
        <v/>
      </c>
      <c r="N4" s="18">
        <f>IFERROR(IF(N3="","",INDEX(祝日!$B$2:$B$200,MATCH(N3,祝日!$A$2:$A$200,0)))," ")</f>
        <v/>
      </c>
      <c r="O4" s="18">
        <f>IFERROR(IF(O3="","",INDEX(祝日!$B$2:$B$200,MATCH(O3,祝日!$A$2:$A$200,0)))," ")</f>
        <v/>
      </c>
      <c r="P4" s="18">
        <f>IFERROR(IF(P3="","",INDEX(祝日!$B$2:$B$200,MATCH(P3,祝日!$A$2:$A$200,0)))," ")</f>
        <v/>
      </c>
      <c r="Q4" s="18">
        <f>IFERROR(IF(Q3="","",INDEX(祝日!$B$2:$B$200,MATCH(Q3,祝日!$A$2:$A$200,0)))," ")</f>
        <v/>
      </c>
      <c r="R4" s="18">
        <f>IFERROR(IF(R3="","",INDEX(祝日!$B$2:$B$200,MATCH(R3,祝日!$A$2:$A$200,0)))," ")</f>
        <v/>
      </c>
      <c r="S4" s="18">
        <f>IFERROR(IF(S3="","",INDEX(祝日!$B$2:$B$200,MATCH(S3,祝日!$A$2:$A$200,0)))," ")</f>
        <v/>
      </c>
      <c r="T4" s="18">
        <f>IFERROR(IF(T3="","",INDEX(祝日!$B$2:$B$200,MATCH(T3,祝日!$A$2:$A$200,0)))," ")</f>
        <v/>
      </c>
      <c r="U4" s="18">
        <f>IFERROR(IF(U3="","",INDEX(祝日!$B$2:$B$200,MATCH(U3,祝日!$A$2:$A$200,0)))," ")</f>
        <v/>
      </c>
      <c r="V4" s="18">
        <f>IFERROR(IF(V3="","",INDEX(祝日!$B$2:$B$200,MATCH(V3,祝日!$A$2:$A$200,0)))," ")</f>
        <v/>
      </c>
      <c r="W4" s="18">
        <f>IFERROR(IF(W3="","",INDEX(祝日!$B$2:$B$200,MATCH(W3,祝日!$A$2:$A$200,0)))," ")</f>
        <v/>
      </c>
      <c r="X4" s="18">
        <f>IFERROR(IF(X3="","",INDEX(祝日!$B$2:$B$200,MATCH(X3,祝日!$A$2:$A$200,0)))," ")</f>
        <v/>
      </c>
      <c r="Y4" s="18">
        <f>IFERROR(IF(Y3="","",INDEX(祝日!$B$2:$B$200,MATCH(Y3,祝日!$A$2:$A$200,0)))," ")</f>
        <v/>
      </c>
      <c r="Z4" s="18">
        <f>IFERROR(IF(Z3="","",INDEX(祝日!$B$2:$B$200,MATCH(Z3,祝日!$A$2:$A$200,0)))," ")</f>
        <v/>
      </c>
      <c r="AA4" s="18">
        <f>IFERROR(IF(AA3="","",INDEX(祝日!$B$2:$B$200,MATCH(AA3,祝日!$A$2:$A$200,0)))," ")</f>
        <v/>
      </c>
      <c r="AB4" s="19" t="n"/>
    </row>
    <row r="5" ht="14" customHeight="1">
      <c r="A5" s="20" t="inlineStr">
        <is>
          <t>【 支　出 】</t>
        </is>
      </c>
    </row>
    <row r="6" ht="15" customHeight="1">
      <c r="A6" s="21" t="inlineStr">
        <is>
          <t>日　付</t>
        </is>
      </c>
      <c r="D6" s="21">
        <f>IF(D3="","",TEXT(D3,"m/d(aaa)"))</f>
        <v/>
      </c>
      <c r="E6" s="21">
        <f>IF(E3="","",TEXT(E3,"m/d(aaa)"))</f>
        <v/>
      </c>
      <c r="F6" s="21">
        <f>IF(F3="","",TEXT(F3,"m/d(aaa)"))</f>
        <v/>
      </c>
      <c r="G6" s="21">
        <f>IF(G3="","",TEXT(G3,"m/d(aaa)"))</f>
        <v/>
      </c>
      <c r="H6" s="21">
        <f>IF(H3="","",TEXT(H3,"m/d(aaa)"))</f>
        <v/>
      </c>
      <c r="I6" s="21">
        <f>IF(I3="","",TEXT(I3,"m/d(aaa)"))</f>
        <v/>
      </c>
      <c r="J6" s="21">
        <f>IF(J3="","",TEXT(J3,"m/d(aaa)"))</f>
        <v/>
      </c>
      <c r="K6" s="21">
        <f>IF(K3="","",TEXT(K3,"m/d(aaa)"))</f>
        <v/>
      </c>
      <c r="L6" s="21">
        <f>IF(L3="","",TEXT(L3,"m/d(aaa)"))</f>
        <v/>
      </c>
      <c r="M6" s="21">
        <f>IF(M3="","",TEXT(M3,"m/d(aaa)"))</f>
        <v/>
      </c>
      <c r="N6" s="21">
        <f>IF(N3="","",TEXT(N3,"m/d(aaa)"))</f>
        <v/>
      </c>
      <c r="O6" s="21">
        <f>IF(O3="","",TEXT(O3,"m/d(aaa)"))</f>
        <v/>
      </c>
      <c r="P6" s="21">
        <f>IF(P3="","",TEXT(P3,"m/d(aaa)"))</f>
        <v/>
      </c>
      <c r="Q6" s="21">
        <f>IF(Q3="","",TEXT(Q3,"m/d(aaa)"))</f>
        <v/>
      </c>
      <c r="R6" s="21">
        <f>IF(R3="","",TEXT(R3,"m/d(aaa)"))</f>
        <v/>
      </c>
      <c r="S6" s="21">
        <f>IF(S3="","",TEXT(S3,"m/d(aaa)"))</f>
        <v/>
      </c>
      <c r="T6" s="21">
        <f>IF(T3="","",TEXT(T3,"m/d(aaa)"))</f>
        <v/>
      </c>
      <c r="U6" s="21">
        <f>IF(U3="","",TEXT(U3,"m/d(aaa)"))</f>
        <v/>
      </c>
      <c r="V6" s="21">
        <f>IF(V3="","",TEXT(V3,"m/d(aaa)"))</f>
        <v/>
      </c>
      <c r="W6" s="21">
        <f>IF(W3="","",TEXT(W3,"m/d(aaa)"))</f>
        <v/>
      </c>
      <c r="X6" s="21">
        <f>IF(X3="","",TEXT(X3,"m/d(aaa)"))</f>
        <v/>
      </c>
      <c r="Y6" s="21">
        <f>IF(Y3="","",TEXT(Y3,"m/d(aaa)"))</f>
        <v/>
      </c>
      <c r="Z6" s="21">
        <f>IF(Z3="","",TEXT(Z3,"m/d(aaa)"))</f>
        <v/>
      </c>
      <c r="AA6" s="21">
        <f>IF(AA3="","",TEXT(AA3,"m/d(aaa)"))</f>
        <v/>
      </c>
      <c r="AB6" s="22" t="n"/>
    </row>
    <row r="7" ht="14" customHeight="1">
      <c r="A7" s="23" t="inlineStr">
        <is>
          <t>トヨタF</t>
        </is>
      </c>
      <c r="B7" s="24" t="inlineStr">
        <is>
          <t>ENEOS ビジネス</t>
        </is>
      </c>
      <c r="G7" s="25" t="n">
        <v>74805</v>
      </c>
      <c r="AB7" s="26">
        <f>SUM(D7:AA7)</f>
        <v/>
      </c>
    </row>
    <row r="8" ht="14" customHeight="1">
      <c r="A8" s="23" t="inlineStr"/>
      <c r="B8" s="24" t="inlineStr">
        <is>
          <t>JCB</t>
        </is>
      </c>
      <c r="K8" s="25" t="n">
        <v>82270</v>
      </c>
      <c r="AB8" s="26">
        <f>SUM(D8:AA8)</f>
        <v/>
      </c>
    </row>
    <row r="9" ht="14" customHeight="1">
      <c r="A9" s="23" t="inlineStr"/>
      <c r="B9" s="24" t="inlineStr">
        <is>
          <t>JCB（ガソリン）</t>
        </is>
      </c>
      <c r="AB9" s="26">
        <f>SUM(D9:AA9)</f>
        <v/>
      </c>
    </row>
    <row r="10" ht="14" customHeight="1">
      <c r="A10" s="23" t="inlineStr"/>
      <c r="B10" s="24" t="inlineStr">
        <is>
          <t>タキ新聞店</t>
        </is>
      </c>
      <c r="G10" s="25" t="n">
        <v>3350</v>
      </c>
      <c r="AB10" s="26">
        <f>SUM(D10:AA10)</f>
        <v/>
      </c>
    </row>
    <row r="11" ht="14" customHeight="1">
      <c r="A11" s="23" t="inlineStr"/>
      <c r="B11" s="24" t="inlineStr">
        <is>
          <t>セディナ三井住友</t>
        </is>
      </c>
      <c r="G11" s="25" t="n">
        <v>5562</v>
      </c>
      <c r="K11" s="25" t="n">
        <v>1470</v>
      </c>
      <c r="AB11" s="26">
        <f>SUM(D11:AA11)</f>
        <v/>
      </c>
    </row>
    <row r="12" ht="14" customHeight="1">
      <c r="A12" s="23" t="inlineStr"/>
      <c r="B12" s="24" t="inlineStr">
        <is>
          <t>安心財団</t>
        </is>
      </c>
      <c r="G12" s="25" t="n">
        <v>2000</v>
      </c>
      <c r="AB12" s="26">
        <f>SUM(D12:AA12)</f>
        <v/>
      </c>
    </row>
    <row r="13" ht="14" customHeight="1">
      <c r="A13" s="23" t="inlineStr"/>
      <c r="B13" s="24" t="inlineStr">
        <is>
          <t>トヨタ</t>
        </is>
      </c>
      <c r="AB13" s="26">
        <f>SUM(D13:AA13)</f>
        <v/>
      </c>
    </row>
    <row r="14" ht="14" customHeight="1">
      <c r="A14" s="23" t="inlineStr"/>
      <c r="B14" s="24" t="inlineStr">
        <is>
          <t>KDDI</t>
        </is>
      </c>
      <c r="AB14" s="26">
        <f>SUM(D14:AA14)</f>
        <v/>
      </c>
    </row>
    <row r="15" ht="14" customHeight="1">
      <c r="A15" s="23" t="inlineStr"/>
      <c r="B15" s="24" t="inlineStr">
        <is>
          <t>NTT</t>
        </is>
      </c>
      <c r="X15" s="25" t="n">
        <v>14532</v>
      </c>
      <c r="AB15" s="26">
        <f>SUM(D15:AA15)</f>
        <v/>
      </c>
    </row>
    <row r="16" ht="14" customHeight="1">
      <c r="A16" s="23" t="inlineStr"/>
      <c r="B16" s="24" t="inlineStr">
        <is>
          <t>しょうしんへ</t>
        </is>
      </c>
      <c r="AB16" s="26">
        <f>SUM(D16:AA16)</f>
        <v/>
      </c>
    </row>
    <row r="17" ht="14" customHeight="1">
      <c r="A17" s="23" t="inlineStr">
        <is>
          <t>22日</t>
        </is>
      </c>
      <c r="B17" s="24" t="inlineStr">
        <is>
          <t>しんきんリース</t>
        </is>
      </c>
      <c r="S17" s="25" t="n">
        <v>652052</v>
      </c>
      <c r="AB17" s="26">
        <f>SUM(D17:AA17)</f>
        <v/>
      </c>
    </row>
    <row r="18" ht="14" customHeight="1">
      <c r="A18" s="23" t="inlineStr"/>
      <c r="B18" s="24" t="inlineStr">
        <is>
          <t>十六カード</t>
        </is>
      </c>
      <c r="J18" s="25" t="n">
        <v>610992</v>
      </c>
      <c r="AB18" s="26">
        <f>SUM(D18:AA18)</f>
        <v/>
      </c>
    </row>
    <row r="19" ht="14" customHeight="1">
      <c r="A19" s="23" t="inlineStr"/>
      <c r="B19" s="24" t="inlineStr">
        <is>
          <t>十六リース</t>
        </is>
      </c>
      <c r="AB19" s="26">
        <f>SUM(D19:AA19)</f>
        <v/>
      </c>
    </row>
    <row r="20" ht="14" customHeight="1">
      <c r="A20" s="23" t="inlineStr">
        <is>
          <t>20日</t>
        </is>
      </c>
      <c r="B20" s="24" t="inlineStr">
        <is>
          <t>商工中金へ</t>
        </is>
      </c>
      <c r="Q20" s="25" t="n">
        <v>850000</v>
      </c>
      <c r="AB20" s="26">
        <f>SUM(D20:AA20)</f>
        <v/>
      </c>
    </row>
    <row r="21" ht="14" customHeight="1">
      <c r="A21" s="23" t="inlineStr"/>
      <c r="B21" s="24" t="inlineStr">
        <is>
          <t>証書借入</t>
        </is>
      </c>
      <c r="V21" s="25" t="n">
        <v>530000</v>
      </c>
      <c r="AB21" s="26">
        <f>SUM(D21:AA21)</f>
        <v/>
      </c>
    </row>
    <row r="22" ht="14" customHeight="1">
      <c r="A22" s="23" t="inlineStr"/>
      <c r="B22" s="24" t="inlineStr">
        <is>
          <t>ウェルピア羽島</t>
        </is>
      </c>
      <c r="J22" s="25" t="n">
        <v>1650000</v>
      </c>
      <c r="AB22" s="26">
        <f>SUM(D22:AA22)</f>
        <v/>
      </c>
    </row>
    <row r="23" ht="14" customHeight="1">
      <c r="A23" s="23" t="inlineStr"/>
      <c r="B23" s="24" t="inlineStr">
        <is>
          <t>ウェルピアへ</t>
        </is>
      </c>
      <c r="AB23" s="26">
        <f>SUM(D23:AA23)</f>
        <v/>
      </c>
    </row>
    <row r="24" ht="14" customHeight="1">
      <c r="A24" s="23" t="inlineStr"/>
      <c r="B24" s="24" t="inlineStr">
        <is>
          <t>AMUSEへ</t>
        </is>
      </c>
      <c r="AB24" s="26">
        <f>SUM(D24:AA24)</f>
        <v/>
      </c>
    </row>
    <row r="25" ht="14" customHeight="1">
      <c r="A25" s="23" t="inlineStr"/>
      <c r="B25" s="24" t="inlineStr">
        <is>
          <t>ブリックス社労士</t>
        </is>
      </c>
      <c r="M25" s="25" t="n">
        <v>22952</v>
      </c>
      <c r="AB25" s="26">
        <f>SUM(D25:AA25)</f>
        <v/>
      </c>
    </row>
    <row r="26" ht="14" customHeight="1">
      <c r="A26" s="23" t="inlineStr"/>
      <c r="B26" s="24" t="inlineStr">
        <is>
          <t>東邦液化ガス</t>
        </is>
      </c>
      <c r="AB26" s="26">
        <f>SUM(D26:AA26)</f>
        <v/>
      </c>
    </row>
    <row r="27" ht="14" customHeight="1">
      <c r="A27" s="23" t="inlineStr"/>
      <c r="B27" s="24" t="inlineStr">
        <is>
          <t>水道</t>
        </is>
      </c>
      <c r="AB27" s="26">
        <f>SUM(D27:AA27)</f>
        <v/>
      </c>
    </row>
    <row r="28" ht="14" customHeight="1">
      <c r="A28" s="23" t="inlineStr"/>
      <c r="B28" s="24" t="inlineStr">
        <is>
          <t>電気料</t>
        </is>
      </c>
      <c r="AB28" s="26">
        <f>SUM(D28:AA28)</f>
        <v/>
      </c>
    </row>
    <row r="29" ht="14" customHeight="1">
      <c r="A29" s="23" t="inlineStr"/>
      <c r="B29" s="24" t="inlineStr">
        <is>
          <t>源泉</t>
        </is>
      </c>
      <c r="K29" s="25" t="n">
        <v>6650</v>
      </c>
      <c r="AB29" s="26">
        <f>SUM(D29:AA29)</f>
        <v/>
      </c>
    </row>
    <row r="30" ht="14" customHeight="1">
      <c r="A30" s="23" t="inlineStr"/>
      <c r="B30" s="24" t="inlineStr">
        <is>
          <t>住民税</t>
        </is>
      </c>
      <c r="M30" s="25" t="n">
        <v>25800</v>
      </c>
      <c r="AB30" s="26">
        <f>SUM(D30:AA30)</f>
        <v/>
      </c>
    </row>
    <row r="31" ht="14" customHeight="1">
      <c r="A31" s="23" t="inlineStr"/>
      <c r="B31" s="24" t="inlineStr">
        <is>
          <t>労働保険料</t>
        </is>
      </c>
      <c r="AB31" s="26">
        <f>SUM(D31:AA31)</f>
        <v/>
      </c>
    </row>
    <row r="32" ht="14" customHeight="1">
      <c r="A32" s="23" t="inlineStr"/>
      <c r="B32" s="24" t="inlineStr">
        <is>
          <t>振込手数料</t>
        </is>
      </c>
      <c r="K32" s="25" t="n">
        <v>32285</v>
      </c>
      <c r="AB32" s="26">
        <f>SUM(D32:AA32)</f>
        <v/>
      </c>
    </row>
    <row r="33" ht="14" customHeight="1">
      <c r="A33" s="23" t="inlineStr"/>
      <c r="B33" s="24" t="inlineStr">
        <is>
          <t>小口</t>
        </is>
      </c>
      <c r="Q33" s="25" t="n">
        <v>500000</v>
      </c>
      <c r="AB33" s="26">
        <f>SUM(D33:AA33)</f>
        <v/>
      </c>
    </row>
    <row r="34" ht="14" customHeight="1">
      <c r="A34" s="23" t="inlineStr"/>
      <c r="B34" s="24" t="inlineStr">
        <is>
          <t>給料</t>
        </is>
      </c>
      <c r="P34" s="25" t="n">
        <v>1239784</v>
      </c>
      <c r="AB34" s="26">
        <f>SUM(D34:AA34)</f>
        <v/>
      </c>
    </row>
    <row r="35" ht="14" customHeight="1">
      <c r="A35" s="23" t="inlineStr"/>
      <c r="B35" s="24" t="inlineStr">
        <is>
          <t>ボディケア費用</t>
        </is>
      </c>
      <c r="AB35" s="26">
        <f>SUM(D35:AA35)</f>
        <v/>
      </c>
    </row>
    <row r="36" ht="14" customHeight="1">
      <c r="A36" s="23" t="inlineStr"/>
      <c r="B36" s="24" t="inlineStr">
        <is>
          <t>サイクル費用</t>
        </is>
      </c>
      <c r="J36" s="25" t="n">
        <v>19249</v>
      </c>
      <c r="P36" s="25" t="n">
        <v>47420</v>
      </c>
      <c r="AB36" s="26">
        <f>SUM(D36:AA36)</f>
        <v/>
      </c>
    </row>
    <row r="37" ht="14" customHeight="1">
      <c r="A37" s="23" t="inlineStr"/>
      <c r="B37" s="24" t="inlineStr">
        <is>
          <t>ボディケア30日</t>
        </is>
      </c>
      <c r="W37" s="25" t="n">
        <v>351150</v>
      </c>
      <c r="AB37" s="26">
        <f>SUM(D37:AA37)</f>
        <v/>
      </c>
    </row>
    <row r="38" ht="14" customHeight="1">
      <c r="A38" s="23" t="inlineStr"/>
      <c r="B38" s="24" t="inlineStr">
        <is>
          <t>サイクル月末</t>
        </is>
      </c>
      <c r="W38" s="25" t="n">
        <v>100592</v>
      </c>
      <c r="AB38" s="26">
        <f>SUM(D38:AA38)</f>
        <v/>
      </c>
    </row>
    <row r="39" ht="14" customHeight="1">
      <c r="A39" s="23" t="inlineStr"/>
      <c r="B39" s="24" t="inlineStr">
        <is>
          <t>Eats月末</t>
        </is>
      </c>
      <c r="AB39" s="26">
        <f>SUM(D39:AA39)</f>
        <v/>
      </c>
    </row>
    <row r="40" ht="14" customHeight="1">
      <c r="A40" s="23" t="inlineStr">
        <is>
          <t>26日</t>
        </is>
      </c>
      <c r="B40" s="24" t="inlineStr">
        <is>
          <t>本社月末振込</t>
        </is>
      </c>
      <c r="W40" s="25" t="n">
        <v>70350</v>
      </c>
      <c r="AB40" s="26">
        <f>SUM(D40:AA40)</f>
        <v/>
      </c>
    </row>
    <row r="41" ht="14" customHeight="1">
      <c r="A41" s="23" t="inlineStr">
        <is>
          <t>26日</t>
        </is>
      </c>
      <c r="B41" s="24" t="inlineStr">
        <is>
          <t>GM地権者振＋他</t>
        </is>
      </c>
      <c r="W41" s="25" t="n">
        <v>3216251</v>
      </c>
      <c r="AB41" s="26">
        <f>SUM(D41:AA41)</f>
        <v/>
      </c>
    </row>
    <row r="42" ht="14" customHeight="1">
      <c r="A42" s="23" t="inlineStr"/>
      <c r="B42" s="24" t="inlineStr">
        <is>
          <t>長野農研</t>
        </is>
      </c>
      <c r="P42" s="25" t="n">
        <v>143000</v>
      </c>
      <c r="AB42" s="26">
        <f>SUM(D42:AA42)</f>
        <v/>
      </c>
    </row>
    <row r="43" ht="14" customHeight="1">
      <c r="A43" s="23" t="inlineStr"/>
      <c r="B43" s="24" t="inlineStr">
        <is>
          <t>日浦新聞</t>
        </is>
      </c>
      <c r="P43" s="25" t="n">
        <v>6750</v>
      </c>
      <c r="AB43" s="26">
        <f>SUM(D43:AA43)</f>
        <v/>
      </c>
    </row>
    <row r="44" ht="14" customHeight="1">
      <c r="A44" s="23" t="inlineStr"/>
      <c r="B44" s="24" t="inlineStr">
        <is>
          <t>位田会計</t>
        </is>
      </c>
      <c r="T44" s="25" t="n">
        <v>36300</v>
      </c>
      <c r="AB44" s="26">
        <f>SUM(D44:AA44)</f>
        <v/>
      </c>
    </row>
    <row r="45" ht="14" customHeight="1">
      <c r="A45" s="23" t="inlineStr"/>
      <c r="B45" s="24" t="inlineStr">
        <is>
          <t>F&amp;M 27</t>
        </is>
      </c>
      <c r="W45" s="25" t="n">
        <v>49500</v>
      </c>
      <c r="AB45" s="26">
        <f>SUM(D45:AA45)</f>
        <v/>
      </c>
    </row>
    <row r="46" ht="14" customHeight="1">
      <c r="A46" s="23" t="inlineStr">
        <is>
          <t>26日</t>
        </is>
      </c>
      <c r="B46" s="24" t="inlineStr">
        <is>
          <t>佐川</t>
        </is>
      </c>
      <c r="W46" s="25" t="n">
        <v>3234</v>
      </c>
      <c r="AB46" s="26">
        <f>SUM(D46:AA46)</f>
        <v/>
      </c>
    </row>
    <row r="47" ht="14" customHeight="1">
      <c r="A47" s="23" t="inlineStr">
        <is>
          <t>26日</t>
        </is>
      </c>
      <c r="B47" s="24" t="inlineStr">
        <is>
          <t>ヤマト26</t>
        </is>
      </c>
      <c r="W47" s="25" t="n">
        <v>1320</v>
      </c>
      <c r="AB47" s="26">
        <f>SUM(D47:AA47)</f>
        <v/>
      </c>
    </row>
    <row r="48" ht="14" customHeight="1">
      <c r="A48" s="23" t="inlineStr"/>
      <c r="B48" s="24" t="inlineStr">
        <is>
          <t>アルファスタッフ</t>
        </is>
      </c>
      <c r="AB48" s="26">
        <f>SUM(D48:AA48)</f>
        <v/>
      </c>
    </row>
    <row r="49" ht="14" customHeight="1">
      <c r="A49" s="23" t="inlineStr"/>
      <c r="B49" s="24" t="inlineStr">
        <is>
          <t>S・B26</t>
        </is>
      </c>
      <c r="W49" s="25" t="n">
        <v>63203</v>
      </c>
      <c r="AB49" s="26">
        <f>SUM(D49:AA49)</f>
        <v/>
      </c>
    </row>
    <row r="50" ht="14" customHeight="1">
      <c r="A50" s="23" t="inlineStr">
        <is>
          <t>26日</t>
        </is>
      </c>
      <c r="B50" s="24" t="inlineStr">
        <is>
          <t>車保険料</t>
        </is>
      </c>
      <c r="V50" s="25" t="n">
        <v>80670</v>
      </c>
      <c r="AB50" s="26">
        <f>SUM(D50:AA50)</f>
        <v/>
      </c>
    </row>
    <row r="51" ht="14" customHeight="1">
      <c r="A51" s="23" t="inlineStr"/>
      <c r="B51" s="24" t="inlineStr">
        <is>
          <t>火災保険</t>
        </is>
      </c>
      <c r="V51" s="25" t="n">
        <v>50380</v>
      </c>
      <c r="AB51" s="26">
        <f>SUM(D51:AA51)</f>
        <v/>
      </c>
    </row>
    <row r="52" ht="14" customHeight="1">
      <c r="A52" s="23" t="inlineStr">
        <is>
          <t>27日</t>
        </is>
      </c>
      <c r="B52" s="24" t="inlineStr">
        <is>
          <t>日本生命（自）</t>
        </is>
      </c>
      <c r="V52" s="25" t="n">
        <v>38000</v>
      </c>
      <c r="AB52" s="26">
        <f>SUM(D52:AA52)</f>
        <v/>
      </c>
    </row>
    <row r="53" ht="14" customHeight="1">
      <c r="A53" s="23" t="inlineStr">
        <is>
          <t>4/26</t>
        </is>
      </c>
      <c r="B53" s="24" t="inlineStr">
        <is>
          <t>ギフシンBC（自）</t>
        </is>
      </c>
      <c r="V53" s="25" t="n">
        <v>5400</v>
      </c>
      <c r="AB53" s="26">
        <f>SUM(D53:AA53)</f>
        <v/>
      </c>
    </row>
    <row r="54" ht="14" customHeight="1">
      <c r="A54" s="23" t="inlineStr">
        <is>
          <t>4/26</t>
        </is>
      </c>
      <c r="B54" s="24" t="inlineStr">
        <is>
          <t>リコー</t>
        </is>
      </c>
      <c r="V54" s="25" t="n">
        <v>6600</v>
      </c>
      <c r="AB54" s="26">
        <f>SUM(D54:AA54)</f>
        <v/>
      </c>
    </row>
    <row r="55" ht="14" customHeight="1">
      <c r="A55" s="23" t="inlineStr">
        <is>
          <t>4/26</t>
        </is>
      </c>
      <c r="B55" s="24" t="inlineStr">
        <is>
          <t>ライフカード（自）</t>
        </is>
      </c>
      <c r="V55" s="25" t="n">
        <v>3625</v>
      </c>
      <c r="AB55" s="26">
        <f>SUM(D55:AA55)</f>
        <v/>
      </c>
    </row>
    <row r="56" ht="14" customHeight="1">
      <c r="A56" s="23" t="inlineStr"/>
      <c r="B56" s="24" t="inlineStr">
        <is>
          <t>地代（自）</t>
        </is>
      </c>
      <c r="X56" s="25" t="n">
        <v>1980000</v>
      </c>
      <c r="AB56" s="26">
        <f>SUM(D56:AA56)</f>
        <v/>
      </c>
    </row>
    <row r="57" ht="14" customHeight="1">
      <c r="A57" s="23" t="inlineStr"/>
      <c r="B57" s="24" t="inlineStr">
        <is>
          <t>固定資産税</t>
        </is>
      </c>
      <c r="X57" s="25" t="n">
        <v>840000</v>
      </c>
      <c r="AB57" s="26">
        <f>SUM(D57:AA57)</f>
        <v/>
      </c>
    </row>
    <row r="58" ht="14" customHeight="1">
      <c r="A58" s="23" t="inlineStr"/>
      <c r="B58" s="24" t="inlineStr">
        <is>
          <t>社会保険料（自）</t>
        </is>
      </c>
      <c r="X58" s="25" t="n">
        <v>512766</v>
      </c>
      <c r="AB58" s="26">
        <f>SUM(D58:AA58)</f>
        <v/>
      </c>
    </row>
    <row r="59" ht="14" customHeight="1">
      <c r="A59" s="23" t="inlineStr"/>
      <c r="B59" s="24" t="inlineStr">
        <is>
          <t>電気・ガス代</t>
        </is>
      </c>
      <c r="W59" s="25" t="n">
        <v>44608</v>
      </c>
      <c r="AB59" s="26">
        <f>SUM(D59:AA59)</f>
        <v/>
      </c>
    </row>
    <row r="60" ht="14" customHeight="1">
      <c r="A60" s="23" t="inlineStr"/>
      <c r="B60" s="24" t="inlineStr">
        <is>
          <t>納税</t>
        </is>
      </c>
      <c r="X60" s="25" t="n">
        <v>1505508</v>
      </c>
      <c r="AB60" s="26">
        <f>SUM(D60:AA60)</f>
        <v/>
      </c>
    </row>
    <row r="61" ht="14" customHeight="1">
      <c r="A61" s="23" t="inlineStr"/>
      <c r="B61" s="24" t="inlineStr">
        <is>
          <t>その他①</t>
        </is>
      </c>
      <c r="AB61" s="26">
        <f>SUM(D61:AA61)</f>
        <v/>
      </c>
    </row>
    <row r="62" ht="14" customHeight="1">
      <c r="A62" s="23" t="inlineStr"/>
      <c r="B62" s="24" t="inlineStr">
        <is>
          <t>その他②</t>
        </is>
      </c>
      <c r="AB62" s="26">
        <f>SUM(D62:AA62)</f>
        <v/>
      </c>
    </row>
    <row r="63" ht="16" customHeight="1">
      <c r="A63" s="27" t="inlineStr">
        <is>
          <t>支　払　合　計</t>
        </is>
      </c>
      <c r="D63" s="28">
        <f>SUM(D7:D62)</f>
        <v/>
      </c>
      <c r="E63" s="28">
        <f>SUM(E7:E62)</f>
        <v/>
      </c>
      <c r="F63" s="28">
        <f>SUM(F7:F62)</f>
        <v/>
      </c>
      <c r="G63" s="28">
        <f>SUM(G7:G62)</f>
        <v/>
      </c>
      <c r="H63" s="28">
        <f>SUM(H7:H62)</f>
        <v/>
      </c>
      <c r="I63" s="28">
        <f>SUM(I7:I62)</f>
        <v/>
      </c>
      <c r="J63" s="28">
        <f>SUM(J7:J62)</f>
        <v/>
      </c>
      <c r="K63" s="28">
        <f>SUM(K7:K62)</f>
        <v/>
      </c>
      <c r="L63" s="28">
        <f>SUM(L7:L62)</f>
        <v/>
      </c>
      <c r="M63" s="28">
        <f>SUM(M7:M62)</f>
        <v/>
      </c>
      <c r="N63" s="28">
        <f>SUM(N7:N62)</f>
        <v/>
      </c>
      <c r="O63" s="28">
        <f>SUM(O7:O62)</f>
        <v/>
      </c>
      <c r="P63" s="28">
        <f>SUM(P7:P62)</f>
        <v/>
      </c>
      <c r="Q63" s="28">
        <f>SUM(Q7:Q62)</f>
        <v/>
      </c>
      <c r="R63" s="28">
        <f>SUM(R7:R62)</f>
        <v/>
      </c>
      <c r="S63" s="28">
        <f>SUM(S7:S62)</f>
        <v/>
      </c>
      <c r="T63" s="28">
        <f>SUM(T7:T62)</f>
        <v/>
      </c>
      <c r="U63" s="28">
        <f>SUM(U7:U62)</f>
        <v/>
      </c>
      <c r="V63" s="28">
        <f>SUM(V7:V62)</f>
        <v/>
      </c>
      <c r="W63" s="28">
        <f>SUM(W7:W62)</f>
        <v/>
      </c>
      <c r="X63" s="28">
        <f>SUM(X7:X62)</f>
        <v/>
      </c>
      <c r="Y63" s="28">
        <f>SUM(Y7:Y62)</f>
        <v/>
      </c>
      <c r="Z63" s="28">
        <f>SUM(Z7:Z62)</f>
        <v/>
      </c>
      <c r="AA63" s="28">
        <f>SUM(AA7:AA62)</f>
        <v/>
      </c>
      <c r="AB63" s="28">
        <f>SUM(D63:AA63)</f>
        <v/>
      </c>
    </row>
    <row r="64" ht="14" customHeight="1">
      <c r="A64" s="29" t="inlineStr">
        <is>
          <t>【 収　入 】</t>
        </is>
      </c>
    </row>
    <row r="65" ht="15" customHeight="1">
      <c r="A65" s="30" t="inlineStr">
        <is>
          <t>日　付</t>
        </is>
      </c>
      <c r="D65" s="30">
        <f>IF(D3="","",TEXT(D3,"m/d(aaa)"))</f>
        <v/>
      </c>
      <c r="E65" s="30">
        <f>IF(E3="","",TEXT(E3,"m/d(aaa)"))</f>
        <v/>
      </c>
      <c r="F65" s="30">
        <f>IF(F3="","",TEXT(F3,"m/d(aaa)"))</f>
        <v/>
      </c>
      <c r="G65" s="30">
        <f>IF(G3="","",TEXT(G3,"m/d(aaa)"))</f>
        <v/>
      </c>
      <c r="H65" s="30">
        <f>IF(H3="","",TEXT(H3,"m/d(aaa)"))</f>
        <v/>
      </c>
      <c r="I65" s="30">
        <f>IF(I3="","",TEXT(I3,"m/d(aaa)"))</f>
        <v/>
      </c>
      <c r="J65" s="30">
        <f>IF(J3="","",TEXT(J3,"m/d(aaa)"))</f>
        <v/>
      </c>
      <c r="K65" s="30">
        <f>IF(K3="","",TEXT(K3,"m/d(aaa)"))</f>
        <v/>
      </c>
      <c r="L65" s="30">
        <f>IF(L3="","",TEXT(L3,"m/d(aaa)"))</f>
        <v/>
      </c>
      <c r="M65" s="30">
        <f>IF(M3="","",TEXT(M3,"m/d(aaa)"))</f>
        <v/>
      </c>
      <c r="N65" s="30">
        <f>IF(N3="","",TEXT(N3,"m/d(aaa)"))</f>
        <v/>
      </c>
      <c r="O65" s="30">
        <f>IF(O3="","",TEXT(O3,"m/d(aaa)"))</f>
        <v/>
      </c>
      <c r="P65" s="30">
        <f>IF(P3="","",TEXT(P3,"m/d(aaa)"))</f>
        <v/>
      </c>
      <c r="Q65" s="30">
        <f>IF(Q3="","",TEXT(Q3,"m/d(aaa)"))</f>
        <v/>
      </c>
      <c r="R65" s="30">
        <f>IF(R3="","",TEXT(R3,"m/d(aaa)"))</f>
        <v/>
      </c>
      <c r="S65" s="30">
        <f>IF(S3="","",TEXT(S3,"m/d(aaa)"))</f>
        <v/>
      </c>
      <c r="T65" s="30">
        <f>IF(T3="","",TEXT(T3,"m/d(aaa)"))</f>
        <v/>
      </c>
      <c r="U65" s="30">
        <f>IF(U3="","",TEXT(U3,"m/d(aaa)"))</f>
        <v/>
      </c>
      <c r="V65" s="30">
        <f>IF(V3="","",TEXT(V3,"m/d(aaa)"))</f>
        <v/>
      </c>
      <c r="W65" s="30">
        <f>IF(W3="","",TEXT(W3,"m/d(aaa)"))</f>
        <v/>
      </c>
      <c r="X65" s="30">
        <f>IF(X3="","",TEXT(X3,"m/d(aaa)"))</f>
        <v/>
      </c>
      <c r="Y65" s="30">
        <f>IF(Y3="","",TEXT(Y3,"m/d(aaa)"))</f>
        <v/>
      </c>
      <c r="Z65" s="30">
        <f>IF(Z3="","",TEXT(Z3,"m/d(aaa)"))</f>
        <v/>
      </c>
      <c r="AA65" s="30">
        <f>IF(AA3="","",TEXT(AA3,"m/d(aaa)"))</f>
        <v/>
      </c>
      <c r="AB65" s="31" t="n"/>
    </row>
    <row r="66" ht="14" customHeight="1">
      <c r="A66" s="32" t="inlineStr">
        <is>
          <t>サイクルIP売上</t>
        </is>
      </c>
      <c r="D66" s="34" t="n"/>
      <c r="E66" s="33" t="n">
        <v>56720</v>
      </c>
      <c r="F66" s="34" t="n"/>
      <c r="G66" s="34" t="n"/>
      <c r="H66" s="34" t="n"/>
      <c r="I66" s="34" t="n"/>
      <c r="J66" s="33" t="n">
        <v>49647</v>
      </c>
      <c r="K66" s="33" t="n">
        <v>40000</v>
      </c>
      <c r="L66" s="33" t="n">
        <v>43720</v>
      </c>
      <c r="M66" s="34" t="n"/>
      <c r="N66" s="34" t="n"/>
      <c r="O66" s="33" t="n">
        <v>93499</v>
      </c>
      <c r="P66" s="34" t="n"/>
      <c r="Q66" s="34" t="n"/>
      <c r="R66" s="34" t="n"/>
      <c r="S66" s="34" t="n"/>
      <c r="T66" s="33" t="n">
        <v>67309</v>
      </c>
      <c r="U66" s="33" t="n">
        <v>261944</v>
      </c>
      <c r="V66" s="34" t="n"/>
      <c r="W66" s="34" t="n"/>
      <c r="X66" s="34" t="n"/>
      <c r="Y66" s="34" t="n"/>
      <c r="Z66" s="34" t="n"/>
      <c r="AA66" s="34" t="n"/>
      <c r="AB66" s="35">
        <f>SUM(D66:AA66)</f>
        <v/>
      </c>
    </row>
    <row r="67" ht="14" customHeight="1">
      <c r="A67" s="32" t="inlineStr">
        <is>
          <t>福　祉</t>
        </is>
      </c>
      <c r="D67" s="34" t="n"/>
      <c r="E67" s="34" t="n"/>
      <c r="F67" s="33" t="n">
        <v>136626</v>
      </c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3" t="n">
        <v>220000</v>
      </c>
      <c r="W67" s="33" t="n">
        <v>301344</v>
      </c>
      <c r="X67" s="34" t="n"/>
      <c r="Y67" s="34" t="n"/>
      <c r="Z67" s="34" t="n"/>
      <c r="AA67" s="34" t="n"/>
      <c r="AB67" s="35">
        <f>SUM(D67:AA67)</f>
        <v/>
      </c>
    </row>
    <row r="68" ht="14" customHeight="1">
      <c r="A68" s="32" t="inlineStr">
        <is>
          <t>その他入金</t>
        </is>
      </c>
      <c r="D68" s="34" t="n"/>
      <c r="E68" s="34" t="n"/>
      <c r="F68" s="34" t="n"/>
      <c r="G68" s="34" t="n"/>
      <c r="H68" s="34" t="n"/>
      <c r="I68" s="34" t="n"/>
      <c r="J68" s="34" t="n"/>
      <c r="K68" s="33" t="n">
        <v>440000</v>
      </c>
      <c r="L68" s="34" t="n"/>
      <c r="M68" s="33" t="n">
        <v>3000000</v>
      </c>
      <c r="N68" s="34" t="n"/>
      <c r="O68" s="34" t="n"/>
      <c r="P68" s="34" t="n"/>
      <c r="Q68" s="34" t="n"/>
      <c r="R68" s="34" t="n"/>
      <c r="S68" s="34" t="n"/>
      <c r="T68" s="34" t="n"/>
      <c r="U68" s="33" t="n">
        <v>97610</v>
      </c>
      <c r="V68" s="33" t="n">
        <v>327076</v>
      </c>
      <c r="W68" s="33" t="n">
        <v>3500000</v>
      </c>
      <c r="X68" s="33" t="n">
        <v>5000000</v>
      </c>
      <c r="Y68" s="34" t="n"/>
      <c r="Z68" s="34" t="n"/>
      <c r="AA68" s="34" t="n"/>
      <c r="AB68" s="35">
        <f>SUM(D68:AA68)</f>
        <v/>
      </c>
    </row>
    <row r="69" ht="14" customHeight="1">
      <c r="A69" s="32" t="inlineStr">
        <is>
          <t>その他①</t>
        </is>
      </c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  <c r="AA69" s="34" t="n"/>
      <c r="AB69" s="35">
        <f>SUM(D69:AA69)</f>
        <v/>
      </c>
    </row>
    <row r="70" ht="14" customHeight="1">
      <c r="A70" s="32" t="inlineStr">
        <is>
          <t>その他②</t>
        </is>
      </c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35">
        <f>SUM(D70:AA70)</f>
        <v/>
      </c>
    </row>
    <row r="71" ht="16" customHeight="1">
      <c r="A71" s="36" t="inlineStr">
        <is>
          <t>収　入　合　計</t>
        </is>
      </c>
      <c r="D71" s="37">
        <f>SUM(D66:D70)</f>
        <v/>
      </c>
      <c r="E71" s="37">
        <f>SUM(E66:E70)</f>
        <v/>
      </c>
      <c r="F71" s="37">
        <f>SUM(F66:F70)</f>
        <v/>
      </c>
      <c r="G71" s="37">
        <f>SUM(G66:G70)</f>
        <v/>
      </c>
      <c r="H71" s="37">
        <f>SUM(H66:H70)</f>
        <v/>
      </c>
      <c r="I71" s="37">
        <f>SUM(I66:I70)</f>
        <v/>
      </c>
      <c r="J71" s="37">
        <f>SUM(J66:J70)</f>
        <v/>
      </c>
      <c r="K71" s="37">
        <f>SUM(K66:K70)</f>
        <v/>
      </c>
      <c r="L71" s="37">
        <f>SUM(L66:L70)</f>
        <v/>
      </c>
      <c r="M71" s="37">
        <f>SUM(M66:M70)</f>
        <v/>
      </c>
      <c r="N71" s="37">
        <f>SUM(N66:N70)</f>
        <v/>
      </c>
      <c r="O71" s="37">
        <f>SUM(O66:O70)</f>
        <v/>
      </c>
      <c r="P71" s="37">
        <f>SUM(P66:P70)</f>
        <v/>
      </c>
      <c r="Q71" s="37">
        <f>SUM(Q66:Q70)</f>
        <v/>
      </c>
      <c r="R71" s="37">
        <f>SUM(R66:R70)</f>
        <v/>
      </c>
      <c r="S71" s="37">
        <f>SUM(S66:S70)</f>
        <v/>
      </c>
      <c r="T71" s="37">
        <f>SUM(T66:T70)</f>
        <v/>
      </c>
      <c r="U71" s="37">
        <f>SUM(U66:U70)</f>
        <v/>
      </c>
      <c r="V71" s="37">
        <f>SUM(V66:V70)</f>
        <v/>
      </c>
      <c r="W71" s="37">
        <f>SUM(W66:W70)</f>
        <v/>
      </c>
      <c r="X71" s="37">
        <f>SUM(X66:X70)</f>
        <v/>
      </c>
      <c r="Y71" s="37">
        <f>SUM(Y66:Y70)</f>
        <v/>
      </c>
      <c r="Z71" s="37">
        <f>SUM(Z66:Z70)</f>
        <v/>
      </c>
      <c r="AA71" s="37">
        <f>SUM(AA66:AA70)</f>
        <v/>
      </c>
      <c r="AB71" s="37">
        <f>SUM(D71:AA71)</f>
        <v/>
      </c>
    </row>
    <row r="72" ht="22" customHeight="1">
      <c r="A72" s="38" t="inlineStr">
        <is>
          <t>残　　　高</t>
        </is>
      </c>
      <c r="D72" s="39">
        <f>IF(D3="","",$D$2+D71-D63)</f>
        <v/>
      </c>
      <c r="E72" s="39">
        <f>IF(E3="","",D72+E71-E63)</f>
        <v/>
      </c>
      <c r="F72" s="39">
        <f>IF(F3="","",E72+F71-F63)</f>
        <v/>
      </c>
      <c r="G72" s="39">
        <f>IF(G3="","",F72+G71-G63)</f>
        <v/>
      </c>
      <c r="H72" s="39">
        <f>IF(H3="","",G72+H71-H63)</f>
        <v/>
      </c>
      <c r="I72" s="39">
        <f>IF(I3="","",H72+I71-I63)</f>
        <v/>
      </c>
      <c r="J72" s="39">
        <f>IF(J3="","",I72+J71-J63)</f>
        <v/>
      </c>
      <c r="K72" s="39">
        <f>IF(K3="","",J72+K71-K63)</f>
        <v/>
      </c>
      <c r="L72" s="39">
        <f>IF(L3="","",K72+L71-L63)</f>
        <v/>
      </c>
      <c r="M72" s="39">
        <f>IF(M3="","",L72+M71-M63)</f>
        <v/>
      </c>
      <c r="N72" s="39">
        <f>IF(N3="","",M72+N71-N63)</f>
        <v/>
      </c>
      <c r="O72" s="39">
        <f>IF(O3="","",N72+O71-O63)</f>
        <v/>
      </c>
      <c r="P72" s="39">
        <f>IF(P3="","",O72+P71-P63)</f>
        <v/>
      </c>
      <c r="Q72" s="39">
        <f>IF(Q3="","",P72+Q71-Q63)</f>
        <v/>
      </c>
      <c r="R72" s="39">
        <f>IF(R3="","",Q72+R71-R63)</f>
        <v/>
      </c>
      <c r="S72" s="39">
        <f>IF(S3="","",R72+S71-S63)</f>
        <v/>
      </c>
      <c r="T72" s="39">
        <f>IF(T3="","",S72+T71-T63)</f>
        <v/>
      </c>
      <c r="U72" s="39">
        <f>IF(U3="","",T72+U71-U63)</f>
        <v/>
      </c>
      <c r="V72" s="39">
        <f>IF(V3="","",U72+V71-V63)</f>
        <v/>
      </c>
      <c r="W72" s="39">
        <f>IF(W3="","",V72+W71-W63)</f>
        <v/>
      </c>
      <c r="X72" s="39">
        <f>IF(X3="","",W72+X71-X63)</f>
        <v/>
      </c>
      <c r="Y72" s="39">
        <f>IF(Y3="","",X72+Y71-Y63)</f>
        <v/>
      </c>
      <c r="Z72" s="39">
        <f>IF(Z3="","",Y72+Z71-Z63)</f>
        <v/>
      </c>
      <c r="AA72" s="39">
        <f>IF(AA3="","",Z72+AA71-AA63)</f>
        <v/>
      </c>
      <c r="AB72" s="40">
        <f>IFERROR(LOOKUP(2,1/ISNUMBER(D72:AA72),D72:AA72),"--")</f>
        <v/>
      </c>
    </row>
  </sheetData>
  <mergeCells count="16">
    <mergeCell ref="A64:AB64"/>
    <mergeCell ref="A68:C68"/>
    <mergeCell ref="A63:C63"/>
    <mergeCell ref="A66:C66"/>
    <mergeCell ref="A71:C71"/>
    <mergeCell ref="A5:AB5"/>
    <mergeCell ref="A6:C6"/>
    <mergeCell ref="E2:AB2"/>
    <mergeCell ref="A67:C67"/>
    <mergeCell ref="A1:AB1"/>
    <mergeCell ref="A70:C70"/>
    <mergeCell ref="A69:C69"/>
    <mergeCell ref="A4:C4"/>
    <mergeCell ref="A65:C65"/>
    <mergeCell ref="A2:C2"/>
    <mergeCell ref="A72:C72"/>
  </mergeCells>
  <conditionalFormatting sqref="D3:AA3">
    <cfRule type="expression" priority="1" dxfId="0">
      <formula>=AND(D3&lt;&gt;"",COUNTIF(祝日!$A$2:$A$200,D3)&gt;0)</formula>
    </cfRule>
  </conditionalFormatting>
  <conditionalFormatting sqref="D6:AA6">
    <cfRule type="expression" priority="2" dxfId="1">
      <formula>=AND(D$3&lt;&gt;"",COUNTIF(祝日!$A$2:$A$200,D$3)&gt;0)</formula>
    </cfRule>
  </conditionalFormatting>
  <conditionalFormatting sqref="D7:AA62">
    <cfRule type="expression" priority="3" dxfId="2">
      <formula>=AND(D$3&lt;&gt;"",WEEKNUM(D$3,2)-WEEKNUM(DATE(YEAR($D$3),MONTH($D$3),1),2)+1=1)</formula>
    </cfRule>
    <cfRule type="expression" priority="4" dxfId="3">
      <formula>=AND(D$3&lt;&gt;"",WEEKNUM(D$3,2)-WEEKNUM(DATE(YEAR($D$3),MONTH($D$3),1),2)+1=2)</formula>
    </cfRule>
    <cfRule type="expression" priority="5" dxfId="4">
      <formula>=AND(D$3&lt;&gt;"",WEEKNUM(D$3,2)-WEEKNUM(DATE(YEAR($D$3),MONTH($D$3),1),2)+1=3)</formula>
    </cfRule>
    <cfRule type="expression" priority="6" dxfId="5">
      <formula>=AND(D$3&lt;&gt;"",WEEKNUM(D$3,2)-WEEKNUM(DATE(YEAR($D$3),MONTH($D$3),1),2)+1=4)</formula>
    </cfRule>
    <cfRule type="expression" priority="7" dxfId="6">
      <formula>=AND(D$3&lt;&gt;"",WEEKNUM(D$3,2)-WEEKNUM(DATE(YEAR($D$3),MONTH($D$3),1),2)+1=5)</formula>
    </cfRule>
  </conditionalFormatting>
  <conditionalFormatting sqref="D65:AA65">
    <cfRule type="expression" priority="8" dxfId="1">
      <formula>=AND(D$3&lt;&gt;"",COUNTIF(祝日!$A$2:$A$200,D$3)&gt;0)</formula>
    </cfRule>
  </conditionalFormatting>
  <conditionalFormatting sqref="D66:AA70">
    <cfRule type="expression" priority="9" dxfId="2">
      <formula>=AND(D$3&lt;&gt;"",WEEKNUM(D$3,2)-WEEKNUM(DATE(YEAR($D$3),MONTH($D$3),1),2)+1=1)</formula>
    </cfRule>
    <cfRule type="expression" priority="10" dxfId="3">
      <formula>=AND(D$3&lt;&gt;"",WEEKNUM(D$3,2)-WEEKNUM(DATE(YEAR($D$3),MONTH($D$3),1),2)+1=2)</formula>
    </cfRule>
    <cfRule type="expression" priority="11" dxfId="4">
      <formula>=AND(D$3&lt;&gt;"",WEEKNUM(D$3,2)-WEEKNUM(DATE(YEAR($D$3),MONTH($D$3),1),2)+1=3)</formula>
    </cfRule>
    <cfRule type="expression" priority="12" dxfId="5">
      <formula>=AND(D$3&lt;&gt;"",WEEKNUM(D$3,2)-WEEKNUM(DATE(YEAR($D$3),MONTH($D$3),1),2)+1=4)</formula>
    </cfRule>
    <cfRule type="expression" priority="13" dxfId="6">
      <formula>=AND(D$3&lt;&gt;"",WEEKNUM(D$3,2)-WEEKNUM(DATE(YEAR($D$3),MONTH($D$3),1),2)+1=5)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2026-04-20T07:20:14Z</dcterms:created>
  <dcterms:modified xmlns:dcterms="http://purl.org/dc/terms/" xmlns:xsi="http://www.w3.org/2001/XMLSchema-instance" xsi:type="dcterms:W3CDTF">2026-04-20T07:20:14Z</dcterms:modified>
</cp:coreProperties>
</file>